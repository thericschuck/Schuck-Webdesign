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chu\Downloads\"/>
    </mc:Choice>
  </mc:AlternateContent>
  <xr:revisionPtr revIDLastSave="0" documentId="13_ncr:1_{919BED3D-19DE-41D5-B033-CF9BEA6B1F1E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Dashboard" sheetId="1" r:id="rId1"/>
    <sheet name="Akquise" sheetId="2" r:id="rId2"/>
    <sheet name="Akquise-Tracking" sheetId="4" r:id="rId3"/>
    <sheet name="Quali-Calls" sheetId="5" r:id="rId4"/>
    <sheet name="Sales-Calls" sheetId="6" r:id="rId5"/>
    <sheet name="Kunden" sheetId="7" r:id="rId6"/>
    <sheet name="Funnel &amp; Quoten" sheetId="8" r:id="rId7"/>
    <sheet name="Umsatz" sheetId="9" r:id="rId8"/>
    <sheet name="Zielplanung" sheetId="10" r:id="rId9"/>
    <sheet name="Listen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C13" i="10" s="1"/>
  <c r="C14" i="10" s="1"/>
  <c r="C15" i="10" s="1"/>
  <c r="G16" i="9"/>
  <c r="F16" i="9"/>
  <c r="D16" i="9"/>
  <c r="B15" i="9"/>
  <c r="B14" i="9"/>
  <c r="B13" i="9"/>
  <c r="B12" i="9"/>
  <c r="B11" i="9"/>
  <c r="B10" i="9"/>
  <c r="B9" i="9"/>
  <c r="B8" i="9"/>
  <c r="B7" i="9"/>
  <c r="B6" i="9"/>
  <c r="B5" i="9"/>
  <c r="B4" i="9"/>
  <c r="A15" i="8"/>
  <c r="A14" i="8"/>
  <c r="A13" i="8"/>
  <c r="A12" i="8"/>
  <c r="A11" i="8"/>
  <c r="A10" i="8"/>
  <c r="A9" i="8"/>
  <c r="A8" i="8"/>
  <c r="A7" i="8"/>
  <c r="A6" i="8"/>
  <c r="A5" i="8"/>
  <c r="A4" i="8"/>
  <c r="K12" i="7"/>
  <c r="K11" i="7"/>
  <c r="K10" i="7"/>
  <c r="K9" i="7"/>
  <c r="K8" i="7"/>
  <c r="K7" i="7"/>
  <c r="K6" i="7"/>
  <c r="K5" i="7"/>
  <c r="K4" i="7"/>
  <c r="K3" i="7"/>
  <c r="K2" i="7"/>
  <c r="H500" i="4"/>
  <c r="F500" i="4"/>
  <c r="D500" i="4"/>
  <c r="H499" i="4"/>
  <c r="F499" i="4"/>
  <c r="D499" i="4"/>
  <c r="H498" i="4"/>
  <c r="F498" i="4"/>
  <c r="D498" i="4"/>
  <c r="H497" i="4"/>
  <c r="F497" i="4"/>
  <c r="D497" i="4"/>
  <c r="H496" i="4"/>
  <c r="F496" i="4"/>
  <c r="D496" i="4"/>
  <c r="H495" i="4"/>
  <c r="F495" i="4"/>
  <c r="D495" i="4"/>
  <c r="H494" i="4"/>
  <c r="F494" i="4"/>
  <c r="D494" i="4"/>
  <c r="H493" i="4"/>
  <c r="F493" i="4"/>
  <c r="D493" i="4"/>
  <c r="H492" i="4"/>
  <c r="F492" i="4"/>
  <c r="D492" i="4"/>
  <c r="H491" i="4"/>
  <c r="F491" i="4"/>
  <c r="D491" i="4"/>
  <c r="H490" i="4"/>
  <c r="F490" i="4"/>
  <c r="D490" i="4"/>
  <c r="H489" i="4"/>
  <c r="F489" i="4"/>
  <c r="D489" i="4"/>
  <c r="H488" i="4"/>
  <c r="F488" i="4"/>
  <c r="D488" i="4"/>
  <c r="H487" i="4"/>
  <c r="F487" i="4"/>
  <c r="D487" i="4"/>
  <c r="H486" i="4"/>
  <c r="F486" i="4"/>
  <c r="D486" i="4"/>
  <c r="H485" i="4"/>
  <c r="F485" i="4"/>
  <c r="D485" i="4"/>
  <c r="H484" i="4"/>
  <c r="F484" i="4"/>
  <c r="D484" i="4"/>
  <c r="H483" i="4"/>
  <c r="F483" i="4"/>
  <c r="D483" i="4"/>
  <c r="H482" i="4"/>
  <c r="F482" i="4"/>
  <c r="D482" i="4"/>
  <c r="H481" i="4"/>
  <c r="F481" i="4"/>
  <c r="D481" i="4"/>
  <c r="H480" i="4"/>
  <c r="F480" i="4"/>
  <c r="D480" i="4"/>
  <c r="H479" i="4"/>
  <c r="F479" i="4"/>
  <c r="D479" i="4"/>
  <c r="H478" i="4"/>
  <c r="F478" i="4"/>
  <c r="D478" i="4"/>
  <c r="H477" i="4"/>
  <c r="F477" i="4"/>
  <c r="D477" i="4"/>
  <c r="H476" i="4"/>
  <c r="F476" i="4"/>
  <c r="D476" i="4"/>
  <c r="H475" i="4"/>
  <c r="F475" i="4"/>
  <c r="D475" i="4"/>
  <c r="H474" i="4"/>
  <c r="F474" i="4"/>
  <c r="D474" i="4"/>
  <c r="H473" i="4"/>
  <c r="F473" i="4"/>
  <c r="D473" i="4"/>
  <c r="H472" i="4"/>
  <c r="F472" i="4"/>
  <c r="D472" i="4"/>
  <c r="H471" i="4"/>
  <c r="F471" i="4"/>
  <c r="D471" i="4"/>
  <c r="H470" i="4"/>
  <c r="F470" i="4"/>
  <c r="D470" i="4"/>
  <c r="H469" i="4"/>
  <c r="F469" i="4"/>
  <c r="D469" i="4"/>
  <c r="H468" i="4"/>
  <c r="F468" i="4"/>
  <c r="D468" i="4"/>
  <c r="H467" i="4"/>
  <c r="F467" i="4"/>
  <c r="D467" i="4"/>
  <c r="H466" i="4"/>
  <c r="F466" i="4"/>
  <c r="D466" i="4"/>
  <c r="H465" i="4"/>
  <c r="F465" i="4"/>
  <c r="D465" i="4"/>
  <c r="H464" i="4"/>
  <c r="F464" i="4"/>
  <c r="D464" i="4"/>
  <c r="H463" i="4"/>
  <c r="F463" i="4"/>
  <c r="D463" i="4"/>
  <c r="H462" i="4"/>
  <c r="F462" i="4"/>
  <c r="D462" i="4"/>
  <c r="H461" i="4"/>
  <c r="F461" i="4"/>
  <c r="D461" i="4"/>
  <c r="H460" i="4"/>
  <c r="F460" i="4"/>
  <c r="D460" i="4"/>
  <c r="H459" i="4"/>
  <c r="F459" i="4"/>
  <c r="D459" i="4"/>
  <c r="H458" i="4"/>
  <c r="F458" i="4"/>
  <c r="D458" i="4"/>
  <c r="H457" i="4"/>
  <c r="F457" i="4"/>
  <c r="D457" i="4"/>
  <c r="H456" i="4"/>
  <c r="F456" i="4"/>
  <c r="D456" i="4"/>
  <c r="H455" i="4"/>
  <c r="F455" i="4"/>
  <c r="D455" i="4"/>
  <c r="H454" i="4"/>
  <c r="F454" i="4"/>
  <c r="D454" i="4"/>
  <c r="H453" i="4"/>
  <c r="F453" i="4"/>
  <c r="D453" i="4"/>
  <c r="H452" i="4"/>
  <c r="F452" i="4"/>
  <c r="D452" i="4"/>
  <c r="H451" i="4"/>
  <c r="F451" i="4"/>
  <c r="D451" i="4"/>
  <c r="H450" i="4"/>
  <c r="F450" i="4"/>
  <c r="D450" i="4"/>
  <c r="H449" i="4"/>
  <c r="F449" i="4"/>
  <c r="D449" i="4"/>
  <c r="H448" i="4"/>
  <c r="F448" i="4"/>
  <c r="D448" i="4"/>
  <c r="H447" i="4"/>
  <c r="F447" i="4"/>
  <c r="D447" i="4"/>
  <c r="H446" i="4"/>
  <c r="F446" i="4"/>
  <c r="D446" i="4"/>
  <c r="H445" i="4"/>
  <c r="F445" i="4"/>
  <c r="D445" i="4"/>
  <c r="H444" i="4"/>
  <c r="F444" i="4"/>
  <c r="D444" i="4"/>
  <c r="H443" i="4"/>
  <c r="F443" i="4"/>
  <c r="D443" i="4"/>
  <c r="H442" i="4"/>
  <c r="K12" i="4" s="1"/>
  <c r="F442" i="4"/>
  <c r="K10" i="4" s="1"/>
  <c r="D442" i="4"/>
  <c r="H441" i="4"/>
  <c r="F441" i="4"/>
  <c r="D441" i="4"/>
  <c r="H440" i="4"/>
  <c r="F440" i="4"/>
  <c r="D440" i="4"/>
  <c r="H439" i="4"/>
  <c r="F439" i="4"/>
  <c r="D439" i="4"/>
  <c r="H438" i="4"/>
  <c r="F438" i="4"/>
  <c r="D438" i="4"/>
  <c r="H437" i="4"/>
  <c r="F437" i="4"/>
  <c r="D437" i="4"/>
  <c r="H436" i="4"/>
  <c r="F436" i="4"/>
  <c r="D436" i="4"/>
  <c r="H435" i="4"/>
  <c r="F435" i="4"/>
  <c r="D435" i="4"/>
  <c r="H434" i="4"/>
  <c r="F434" i="4"/>
  <c r="D434" i="4"/>
  <c r="H433" i="4"/>
  <c r="F433" i="4"/>
  <c r="D433" i="4"/>
  <c r="H432" i="4"/>
  <c r="F432" i="4"/>
  <c r="D432" i="4"/>
  <c r="H431" i="4"/>
  <c r="F431" i="4"/>
  <c r="D431" i="4"/>
  <c r="H430" i="4"/>
  <c r="F430" i="4"/>
  <c r="D430" i="4"/>
  <c r="H429" i="4"/>
  <c r="F429" i="4"/>
  <c r="D429" i="4"/>
  <c r="H428" i="4"/>
  <c r="F428" i="4"/>
  <c r="D428" i="4"/>
  <c r="H427" i="4"/>
  <c r="F427" i="4"/>
  <c r="D427" i="4"/>
  <c r="H426" i="4"/>
  <c r="F426" i="4"/>
  <c r="D426" i="4"/>
  <c r="H425" i="4"/>
  <c r="F425" i="4"/>
  <c r="D425" i="4"/>
  <c r="H424" i="4"/>
  <c r="F424" i="4"/>
  <c r="D424" i="4"/>
  <c r="H423" i="4"/>
  <c r="F423" i="4"/>
  <c r="D423" i="4"/>
  <c r="H422" i="4"/>
  <c r="F422" i="4"/>
  <c r="D422" i="4"/>
  <c r="H421" i="4"/>
  <c r="F421" i="4"/>
  <c r="D421" i="4"/>
  <c r="H420" i="4"/>
  <c r="F420" i="4"/>
  <c r="D420" i="4"/>
  <c r="H419" i="4"/>
  <c r="F419" i="4"/>
  <c r="D419" i="4"/>
  <c r="H418" i="4"/>
  <c r="F418" i="4"/>
  <c r="D418" i="4"/>
  <c r="H417" i="4"/>
  <c r="F417" i="4"/>
  <c r="D417" i="4"/>
  <c r="H416" i="4"/>
  <c r="F416" i="4"/>
  <c r="D416" i="4"/>
  <c r="H415" i="4"/>
  <c r="F415" i="4"/>
  <c r="D415" i="4"/>
  <c r="H414" i="4"/>
  <c r="F414" i="4"/>
  <c r="D414" i="4"/>
  <c r="H413" i="4"/>
  <c r="F413" i="4"/>
  <c r="D413" i="4"/>
  <c r="H412" i="4"/>
  <c r="F412" i="4"/>
  <c r="D412" i="4"/>
  <c r="H411" i="4"/>
  <c r="F411" i="4"/>
  <c r="D411" i="4"/>
  <c r="H410" i="4"/>
  <c r="F410" i="4"/>
  <c r="D410" i="4"/>
  <c r="H409" i="4"/>
  <c r="F409" i="4"/>
  <c r="D409" i="4"/>
  <c r="H408" i="4"/>
  <c r="F408" i="4"/>
  <c r="D408" i="4"/>
  <c r="H407" i="4"/>
  <c r="F407" i="4"/>
  <c r="D407" i="4"/>
  <c r="H406" i="4"/>
  <c r="F406" i="4"/>
  <c r="D406" i="4"/>
  <c r="H405" i="4"/>
  <c r="F405" i="4"/>
  <c r="D405" i="4"/>
  <c r="H404" i="4"/>
  <c r="F404" i="4"/>
  <c r="D404" i="4"/>
  <c r="H403" i="4"/>
  <c r="F403" i="4"/>
  <c r="D403" i="4"/>
  <c r="H402" i="4"/>
  <c r="F402" i="4"/>
  <c r="D402" i="4"/>
  <c r="H401" i="4"/>
  <c r="F401" i="4"/>
  <c r="D401" i="4"/>
  <c r="H400" i="4"/>
  <c r="F400" i="4"/>
  <c r="D400" i="4"/>
  <c r="H399" i="4"/>
  <c r="F399" i="4"/>
  <c r="D399" i="4"/>
  <c r="H398" i="4"/>
  <c r="F398" i="4"/>
  <c r="D398" i="4"/>
  <c r="H397" i="4"/>
  <c r="F397" i="4"/>
  <c r="D397" i="4"/>
  <c r="H396" i="4"/>
  <c r="F396" i="4"/>
  <c r="D396" i="4"/>
  <c r="H395" i="4"/>
  <c r="F395" i="4"/>
  <c r="D395" i="4"/>
  <c r="H394" i="4"/>
  <c r="F394" i="4"/>
  <c r="D394" i="4"/>
  <c r="H393" i="4"/>
  <c r="F393" i="4"/>
  <c r="D393" i="4"/>
  <c r="H392" i="4"/>
  <c r="F392" i="4"/>
  <c r="D392" i="4"/>
  <c r="H391" i="4"/>
  <c r="F391" i="4"/>
  <c r="D391" i="4"/>
  <c r="H390" i="4"/>
  <c r="F390" i="4"/>
  <c r="D390" i="4"/>
  <c r="H389" i="4"/>
  <c r="F389" i="4"/>
  <c r="D389" i="4"/>
  <c r="H388" i="4"/>
  <c r="F388" i="4"/>
  <c r="D388" i="4"/>
  <c r="H387" i="4"/>
  <c r="F387" i="4"/>
  <c r="D387" i="4"/>
  <c r="H386" i="4"/>
  <c r="F386" i="4"/>
  <c r="D386" i="4"/>
  <c r="H385" i="4"/>
  <c r="F385" i="4"/>
  <c r="D385" i="4"/>
  <c r="H384" i="4"/>
  <c r="F384" i="4"/>
  <c r="D384" i="4"/>
  <c r="H383" i="4"/>
  <c r="F383" i="4"/>
  <c r="D383" i="4"/>
  <c r="H382" i="4"/>
  <c r="F382" i="4"/>
  <c r="D382" i="4"/>
  <c r="H381" i="4"/>
  <c r="F381" i="4"/>
  <c r="D381" i="4"/>
  <c r="H380" i="4"/>
  <c r="F380" i="4"/>
  <c r="D380" i="4"/>
  <c r="H379" i="4"/>
  <c r="F379" i="4"/>
  <c r="D379" i="4"/>
  <c r="H378" i="4"/>
  <c r="F378" i="4"/>
  <c r="D378" i="4"/>
  <c r="H377" i="4"/>
  <c r="F377" i="4"/>
  <c r="D377" i="4"/>
  <c r="H376" i="4"/>
  <c r="F376" i="4"/>
  <c r="D376" i="4"/>
  <c r="H375" i="4"/>
  <c r="F375" i="4"/>
  <c r="D375" i="4"/>
  <c r="H374" i="4"/>
  <c r="F374" i="4"/>
  <c r="D374" i="4"/>
  <c r="H373" i="4"/>
  <c r="F373" i="4"/>
  <c r="D373" i="4"/>
  <c r="H372" i="4"/>
  <c r="F372" i="4"/>
  <c r="D372" i="4"/>
  <c r="H371" i="4"/>
  <c r="F371" i="4"/>
  <c r="D371" i="4"/>
  <c r="H370" i="4"/>
  <c r="F370" i="4"/>
  <c r="D370" i="4"/>
  <c r="H369" i="4"/>
  <c r="F369" i="4"/>
  <c r="D369" i="4"/>
  <c r="H368" i="4"/>
  <c r="F368" i="4"/>
  <c r="D368" i="4"/>
  <c r="H367" i="4"/>
  <c r="F367" i="4"/>
  <c r="D367" i="4"/>
  <c r="H366" i="4"/>
  <c r="F366" i="4"/>
  <c r="D366" i="4"/>
  <c r="H365" i="4"/>
  <c r="F365" i="4"/>
  <c r="D365" i="4"/>
  <c r="H364" i="4"/>
  <c r="F364" i="4"/>
  <c r="D364" i="4"/>
  <c r="H363" i="4"/>
  <c r="F363" i="4"/>
  <c r="D363" i="4"/>
  <c r="H362" i="4"/>
  <c r="F362" i="4"/>
  <c r="D362" i="4"/>
  <c r="H361" i="4"/>
  <c r="F361" i="4"/>
  <c r="D361" i="4"/>
  <c r="H360" i="4"/>
  <c r="F360" i="4"/>
  <c r="D360" i="4"/>
  <c r="H359" i="4"/>
  <c r="F359" i="4"/>
  <c r="D359" i="4"/>
  <c r="H358" i="4"/>
  <c r="F358" i="4"/>
  <c r="D358" i="4"/>
  <c r="H357" i="4"/>
  <c r="F357" i="4"/>
  <c r="D357" i="4"/>
  <c r="H356" i="4"/>
  <c r="F356" i="4"/>
  <c r="D356" i="4"/>
  <c r="H355" i="4"/>
  <c r="F355" i="4"/>
  <c r="D355" i="4"/>
  <c r="H354" i="4"/>
  <c r="F354" i="4"/>
  <c r="D354" i="4"/>
  <c r="H353" i="4"/>
  <c r="F353" i="4"/>
  <c r="D353" i="4"/>
  <c r="H352" i="4"/>
  <c r="F352" i="4"/>
  <c r="D352" i="4"/>
  <c r="H351" i="4"/>
  <c r="F351" i="4"/>
  <c r="D351" i="4"/>
  <c r="H350" i="4"/>
  <c r="F350" i="4"/>
  <c r="D350" i="4"/>
  <c r="H349" i="4"/>
  <c r="F349" i="4"/>
  <c r="D349" i="4"/>
  <c r="H348" i="4"/>
  <c r="F348" i="4"/>
  <c r="D348" i="4"/>
  <c r="H347" i="4"/>
  <c r="F347" i="4"/>
  <c r="D347" i="4"/>
  <c r="H346" i="4"/>
  <c r="F346" i="4"/>
  <c r="D346" i="4"/>
  <c r="H345" i="4"/>
  <c r="F345" i="4"/>
  <c r="D345" i="4"/>
  <c r="H344" i="4"/>
  <c r="F344" i="4"/>
  <c r="D344" i="4"/>
  <c r="H343" i="4"/>
  <c r="F343" i="4"/>
  <c r="D343" i="4"/>
  <c r="H342" i="4"/>
  <c r="F342" i="4"/>
  <c r="D342" i="4"/>
  <c r="H341" i="4"/>
  <c r="F341" i="4"/>
  <c r="D341" i="4"/>
  <c r="H340" i="4"/>
  <c r="F340" i="4"/>
  <c r="D340" i="4"/>
  <c r="H339" i="4"/>
  <c r="F339" i="4"/>
  <c r="D339" i="4"/>
  <c r="H338" i="4"/>
  <c r="F338" i="4"/>
  <c r="D338" i="4"/>
  <c r="H337" i="4"/>
  <c r="F337" i="4"/>
  <c r="D337" i="4"/>
  <c r="H336" i="4"/>
  <c r="F336" i="4"/>
  <c r="D336" i="4"/>
  <c r="H335" i="4"/>
  <c r="F335" i="4"/>
  <c r="D335" i="4"/>
  <c r="H334" i="4"/>
  <c r="F334" i="4"/>
  <c r="D334" i="4"/>
  <c r="H333" i="4"/>
  <c r="F333" i="4"/>
  <c r="D333" i="4"/>
  <c r="H332" i="4"/>
  <c r="F332" i="4"/>
  <c r="D332" i="4"/>
  <c r="H331" i="4"/>
  <c r="F331" i="4"/>
  <c r="D331" i="4"/>
  <c r="H330" i="4"/>
  <c r="F330" i="4"/>
  <c r="D330" i="4"/>
  <c r="H329" i="4"/>
  <c r="F329" i="4"/>
  <c r="D329" i="4"/>
  <c r="H328" i="4"/>
  <c r="F328" i="4"/>
  <c r="D328" i="4"/>
  <c r="H327" i="4"/>
  <c r="F327" i="4"/>
  <c r="D327" i="4"/>
  <c r="H326" i="4"/>
  <c r="F326" i="4"/>
  <c r="D326" i="4"/>
  <c r="H325" i="4"/>
  <c r="F325" i="4"/>
  <c r="D325" i="4"/>
  <c r="H324" i="4"/>
  <c r="F324" i="4"/>
  <c r="D324" i="4"/>
  <c r="H323" i="4"/>
  <c r="F323" i="4"/>
  <c r="D323" i="4"/>
  <c r="H322" i="4"/>
  <c r="F322" i="4"/>
  <c r="D322" i="4"/>
  <c r="H321" i="4"/>
  <c r="F321" i="4"/>
  <c r="D321" i="4"/>
  <c r="H320" i="4"/>
  <c r="F320" i="4"/>
  <c r="D320" i="4"/>
  <c r="H319" i="4"/>
  <c r="F319" i="4"/>
  <c r="D319" i="4"/>
  <c r="H318" i="4"/>
  <c r="F318" i="4"/>
  <c r="D318" i="4"/>
  <c r="H317" i="4"/>
  <c r="F317" i="4"/>
  <c r="D317" i="4"/>
  <c r="H316" i="4"/>
  <c r="F316" i="4"/>
  <c r="D316" i="4"/>
  <c r="H315" i="4"/>
  <c r="F315" i="4"/>
  <c r="D315" i="4"/>
  <c r="H314" i="4"/>
  <c r="F314" i="4"/>
  <c r="D314" i="4"/>
  <c r="H313" i="4"/>
  <c r="F313" i="4"/>
  <c r="D313" i="4"/>
  <c r="H312" i="4"/>
  <c r="F312" i="4"/>
  <c r="D312" i="4"/>
  <c r="H311" i="4"/>
  <c r="F311" i="4"/>
  <c r="D311" i="4"/>
  <c r="H310" i="4"/>
  <c r="F310" i="4"/>
  <c r="D310" i="4"/>
  <c r="H309" i="4"/>
  <c r="F309" i="4"/>
  <c r="D309" i="4"/>
  <c r="H308" i="4"/>
  <c r="F308" i="4"/>
  <c r="D308" i="4"/>
  <c r="H307" i="4"/>
  <c r="F307" i="4"/>
  <c r="D307" i="4"/>
  <c r="H306" i="4"/>
  <c r="F306" i="4"/>
  <c r="D306" i="4"/>
  <c r="H305" i="4"/>
  <c r="F305" i="4"/>
  <c r="D305" i="4"/>
  <c r="H304" i="4"/>
  <c r="F304" i="4"/>
  <c r="D304" i="4"/>
  <c r="H303" i="4"/>
  <c r="F303" i="4"/>
  <c r="D303" i="4"/>
  <c r="H302" i="4"/>
  <c r="F302" i="4"/>
  <c r="D302" i="4"/>
  <c r="H301" i="4"/>
  <c r="F301" i="4"/>
  <c r="D301" i="4"/>
  <c r="H300" i="4"/>
  <c r="F300" i="4"/>
  <c r="D300" i="4"/>
  <c r="H299" i="4"/>
  <c r="F299" i="4"/>
  <c r="D299" i="4"/>
  <c r="H298" i="4"/>
  <c r="F298" i="4"/>
  <c r="D298" i="4"/>
  <c r="H297" i="4"/>
  <c r="F297" i="4"/>
  <c r="D297" i="4"/>
  <c r="H296" i="4"/>
  <c r="F296" i="4"/>
  <c r="D296" i="4"/>
  <c r="H295" i="4"/>
  <c r="F295" i="4"/>
  <c r="D295" i="4"/>
  <c r="H294" i="4"/>
  <c r="F294" i="4"/>
  <c r="D294" i="4"/>
  <c r="H293" i="4"/>
  <c r="F293" i="4"/>
  <c r="D293" i="4"/>
  <c r="H292" i="4"/>
  <c r="F292" i="4"/>
  <c r="D292" i="4"/>
  <c r="H291" i="4"/>
  <c r="F291" i="4"/>
  <c r="D291" i="4"/>
  <c r="H290" i="4"/>
  <c r="F290" i="4"/>
  <c r="D290" i="4"/>
  <c r="H289" i="4"/>
  <c r="F289" i="4"/>
  <c r="D289" i="4"/>
  <c r="H288" i="4"/>
  <c r="F288" i="4"/>
  <c r="D288" i="4"/>
  <c r="H287" i="4"/>
  <c r="F287" i="4"/>
  <c r="D287" i="4"/>
  <c r="H286" i="4"/>
  <c r="F286" i="4"/>
  <c r="D286" i="4"/>
  <c r="H285" i="4"/>
  <c r="F285" i="4"/>
  <c r="D285" i="4"/>
  <c r="H284" i="4"/>
  <c r="F284" i="4"/>
  <c r="D284" i="4"/>
  <c r="H283" i="4"/>
  <c r="F283" i="4"/>
  <c r="D283" i="4"/>
  <c r="H282" i="4"/>
  <c r="F282" i="4"/>
  <c r="D282" i="4"/>
  <c r="H281" i="4"/>
  <c r="F281" i="4"/>
  <c r="D281" i="4"/>
  <c r="H280" i="4"/>
  <c r="F280" i="4"/>
  <c r="D280" i="4"/>
  <c r="H279" i="4"/>
  <c r="F279" i="4"/>
  <c r="D279" i="4"/>
  <c r="H278" i="4"/>
  <c r="F278" i="4"/>
  <c r="D278" i="4"/>
  <c r="H277" i="4"/>
  <c r="F277" i="4"/>
  <c r="D277" i="4"/>
  <c r="H276" i="4"/>
  <c r="F276" i="4"/>
  <c r="D276" i="4"/>
  <c r="H275" i="4"/>
  <c r="F275" i="4"/>
  <c r="D275" i="4"/>
  <c r="H274" i="4"/>
  <c r="F274" i="4"/>
  <c r="D274" i="4"/>
  <c r="H273" i="4"/>
  <c r="F273" i="4"/>
  <c r="D273" i="4"/>
  <c r="H272" i="4"/>
  <c r="F272" i="4"/>
  <c r="D272" i="4"/>
  <c r="H271" i="4"/>
  <c r="F271" i="4"/>
  <c r="D271" i="4"/>
  <c r="H270" i="4"/>
  <c r="F270" i="4"/>
  <c r="D270" i="4"/>
  <c r="H269" i="4"/>
  <c r="F269" i="4"/>
  <c r="D269" i="4"/>
  <c r="H268" i="4"/>
  <c r="F268" i="4"/>
  <c r="D268" i="4"/>
  <c r="H267" i="4"/>
  <c r="F267" i="4"/>
  <c r="D267" i="4"/>
  <c r="H266" i="4"/>
  <c r="F266" i="4"/>
  <c r="D266" i="4"/>
  <c r="H265" i="4"/>
  <c r="F265" i="4"/>
  <c r="D265" i="4"/>
  <c r="H264" i="4"/>
  <c r="F264" i="4"/>
  <c r="D264" i="4"/>
  <c r="H263" i="4"/>
  <c r="F263" i="4"/>
  <c r="D263" i="4"/>
  <c r="H262" i="4"/>
  <c r="F262" i="4"/>
  <c r="D262" i="4"/>
  <c r="H261" i="4"/>
  <c r="F261" i="4"/>
  <c r="D261" i="4"/>
  <c r="H260" i="4"/>
  <c r="F260" i="4"/>
  <c r="D260" i="4"/>
  <c r="H259" i="4"/>
  <c r="F259" i="4"/>
  <c r="D259" i="4"/>
  <c r="H258" i="4"/>
  <c r="F258" i="4"/>
  <c r="D258" i="4"/>
  <c r="H257" i="4"/>
  <c r="F257" i="4"/>
  <c r="D257" i="4"/>
  <c r="H256" i="4"/>
  <c r="F256" i="4"/>
  <c r="D256" i="4"/>
  <c r="H255" i="4"/>
  <c r="F255" i="4"/>
  <c r="D255" i="4"/>
  <c r="H254" i="4"/>
  <c r="F254" i="4"/>
  <c r="D254" i="4"/>
  <c r="H253" i="4"/>
  <c r="F253" i="4"/>
  <c r="D253" i="4"/>
  <c r="H252" i="4"/>
  <c r="F252" i="4"/>
  <c r="D252" i="4"/>
  <c r="H251" i="4"/>
  <c r="F251" i="4"/>
  <c r="D251" i="4"/>
  <c r="H250" i="4"/>
  <c r="F250" i="4"/>
  <c r="D250" i="4"/>
  <c r="H249" i="4"/>
  <c r="F249" i="4"/>
  <c r="D249" i="4"/>
  <c r="H248" i="4"/>
  <c r="F248" i="4"/>
  <c r="D248" i="4"/>
  <c r="H247" i="4"/>
  <c r="F247" i="4"/>
  <c r="D247" i="4"/>
  <c r="H246" i="4"/>
  <c r="F246" i="4"/>
  <c r="D246" i="4"/>
  <c r="H245" i="4"/>
  <c r="F245" i="4"/>
  <c r="D245" i="4"/>
  <c r="H244" i="4"/>
  <c r="F244" i="4"/>
  <c r="D244" i="4"/>
  <c r="H243" i="4"/>
  <c r="F243" i="4"/>
  <c r="D243" i="4"/>
  <c r="H242" i="4"/>
  <c r="F242" i="4"/>
  <c r="D242" i="4"/>
  <c r="H241" i="4"/>
  <c r="F241" i="4"/>
  <c r="D241" i="4"/>
  <c r="H240" i="4"/>
  <c r="F240" i="4"/>
  <c r="D240" i="4"/>
  <c r="H239" i="4"/>
  <c r="F239" i="4"/>
  <c r="D239" i="4"/>
  <c r="H238" i="4"/>
  <c r="F238" i="4"/>
  <c r="D238" i="4"/>
  <c r="H237" i="4"/>
  <c r="F237" i="4"/>
  <c r="D237" i="4"/>
  <c r="H236" i="4"/>
  <c r="F236" i="4"/>
  <c r="D236" i="4"/>
  <c r="H235" i="4"/>
  <c r="F235" i="4"/>
  <c r="D235" i="4"/>
  <c r="H234" i="4"/>
  <c r="F234" i="4"/>
  <c r="D234" i="4"/>
  <c r="H233" i="4"/>
  <c r="F233" i="4"/>
  <c r="D233" i="4"/>
  <c r="H232" i="4"/>
  <c r="F232" i="4"/>
  <c r="D232" i="4"/>
  <c r="H231" i="4"/>
  <c r="F231" i="4"/>
  <c r="D231" i="4"/>
  <c r="H230" i="4"/>
  <c r="F230" i="4"/>
  <c r="D230" i="4"/>
  <c r="H229" i="4"/>
  <c r="F229" i="4"/>
  <c r="D229" i="4"/>
  <c r="H228" i="4"/>
  <c r="F228" i="4"/>
  <c r="D228" i="4"/>
  <c r="H227" i="4"/>
  <c r="F227" i="4"/>
  <c r="D227" i="4"/>
  <c r="H226" i="4"/>
  <c r="F226" i="4"/>
  <c r="D226" i="4"/>
  <c r="H225" i="4"/>
  <c r="F225" i="4"/>
  <c r="D225" i="4"/>
  <c r="H224" i="4"/>
  <c r="F224" i="4"/>
  <c r="D224" i="4"/>
  <c r="H223" i="4"/>
  <c r="F223" i="4"/>
  <c r="D223" i="4"/>
  <c r="H222" i="4"/>
  <c r="F222" i="4"/>
  <c r="D222" i="4"/>
  <c r="H221" i="4"/>
  <c r="F221" i="4"/>
  <c r="D221" i="4"/>
  <c r="H220" i="4"/>
  <c r="F220" i="4"/>
  <c r="D220" i="4"/>
  <c r="H219" i="4"/>
  <c r="F219" i="4"/>
  <c r="D219" i="4"/>
  <c r="H218" i="4"/>
  <c r="F218" i="4"/>
  <c r="D218" i="4"/>
  <c r="H217" i="4"/>
  <c r="F217" i="4"/>
  <c r="D217" i="4"/>
  <c r="H216" i="4"/>
  <c r="F216" i="4"/>
  <c r="D216" i="4"/>
  <c r="H215" i="4"/>
  <c r="F215" i="4"/>
  <c r="D215" i="4"/>
  <c r="H214" i="4"/>
  <c r="F214" i="4"/>
  <c r="D214" i="4"/>
  <c r="H213" i="4"/>
  <c r="F213" i="4"/>
  <c r="D213" i="4"/>
  <c r="H212" i="4"/>
  <c r="F212" i="4"/>
  <c r="D212" i="4"/>
  <c r="H211" i="4"/>
  <c r="F211" i="4"/>
  <c r="D211" i="4"/>
  <c r="H210" i="4"/>
  <c r="F210" i="4"/>
  <c r="D210" i="4"/>
  <c r="H209" i="4"/>
  <c r="F209" i="4"/>
  <c r="D209" i="4"/>
  <c r="H208" i="4"/>
  <c r="F208" i="4"/>
  <c r="D208" i="4"/>
  <c r="H207" i="4"/>
  <c r="F207" i="4"/>
  <c r="D207" i="4"/>
  <c r="H206" i="4"/>
  <c r="F206" i="4"/>
  <c r="D206" i="4"/>
  <c r="H205" i="4"/>
  <c r="F205" i="4"/>
  <c r="D205" i="4"/>
  <c r="H204" i="4"/>
  <c r="F204" i="4"/>
  <c r="D204" i="4"/>
  <c r="H203" i="4"/>
  <c r="F203" i="4"/>
  <c r="D203" i="4"/>
  <c r="H202" i="4"/>
  <c r="F202" i="4"/>
  <c r="D202" i="4"/>
  <c r="H201" i="4"/>
  <c r="F201" i="4"/>
  <c r="D201" i="4"/>
  <c r="H200" i="4"/>
  <c r="F200" i="4"/>
  <c r="D200" i="4"/>
  <c r="H199" i="4"/>
  <c r="F199" i="4"/>
  <c r="D199" i="4"/>
  <c r="H198" i="4"/>
  <c r="F198" i="4"/>
  <c r="D198" i="4"/>
  <c r="H197" i="4"/>
  <c r="F197" i="4"/>
  <c r="D197" i="4"/>
  <c r="H196" i="4"/>
  <c r="F196" i="4"/>
  <c r="D196" i="4"/>
  <c r="H195" i="4"/>
  <c r="F195" i="4"/>
  <c r="D195" i="4"/>
  <c r="H194" i="4"/>
  <c r="F194" i="4"/>
  <c r="D194" i="4"/>
  <c r="H193" i="4"/>
  <c r="F193" i="4"/>
  <c r="D193" i="4"/>
  <c r="H192" i="4"/>
  <c r="F192" i="4"/>
  <c r="D192" i="4"/>
  <c r="H191" i="4"/>
  <c r="F191" i="4"/>
  <c r="D191" i="4"/>
  <c r="H190" i="4"/>
  <c r="F190" i="4"/>
  <c r="D190" i="4"/>
  <c r="H189" i="4"/>
  <c r="F189" i="4"/>
  <c r="D189" i="4"/>
  <c r="H188" i="4"/>
  <c r="F188" i="4"/>
  <c r="D188" i="4"/>
  <c r="H187" i="4"/>
  <c r="F187" i="4"/>
  <c r="D187" i="4"/>
  <c r="H186" i="4"/>
  <c r="F186" i="4"/>
  <c r="D186" i="4"/>
  <c r="H185" i="4"/>
  <c r="F185" i="4"/>
  <c r="D185" i="4"/>
  <c r="H184" i="4"/>
  <c r="F184" i="4"/>
  <c r="D184" i="4"/>
  <c r="H183" i="4"/>
  <c r="F183" i="4"/>
  <c r="D183" i="4"/>
  <c r="H182" i="4"/>
  <c r="F182" i="4"/>
  <c r="D182" i="4"/>
  <c r="H181" i="4"/>
  <c r="F181" i="4"/>
  <c r="D181" i="4"/>
  <c r="H180" i="4"/>
  <c r="F180" i="4"/>
  <c r="D180" i="4"/>
  <c r="H179" i="4"/>
  <c r="F179" i="4"/>
  <c r="D179" i="4"/>
  <c r="H178" i="4"/>
  <c r="F178" i="4"/>
  <c r="D178" i="4"/>
  <c r="H177" i="4"/>
  <c r="F177" i="4"/>
  <c r="D177" i="4"/>
  <c r="H176" i="4"/>
  <c r="F176" i="4"/>
  <c r="D176" i="4"/>
  <c r="H175" i="4"/>
  <c r="F175" i="4"/>
  <c r="D175" i="4"/>
  <c r="H174" i="4"/>
  <c r="F174" i="4"/>
  <c r="D174" i="4"/>
  <c r="H173" i="4"/>
  <c r="F173" i="4"/>
  <c r="D173" i="4"/>
  <c r="H172" i="4"/>
  <c r="F172" i="4"/>
  <c r="D172" i="4"/>
  <c r="H171" i="4"/>
  <c r="F171" i="4"/>
  <c r="D171" i="4"/>
  <c r="H170" i="4"/>
  <c r="F170" i="4"/>
  <c r="D170" i="4"/>
  <c r="H169" i="4"/>
  <c r="F169" i="4"/>
  <c r="D169" i="4"/>
  <c r="H168" i="4"/>
  <c r="F168" i="4"/>
  <c r="D168" i="4"/>
  <c r="H167" i="4"/>
  <c r="F167" i="4"/>
  <c r="D167" i="4"/>
  <c r="H166" i="4"/>
  <c r="F166" i="4"/>
  <c r="D166" i="4"/>
  <c r="H165" i="4"/>
  <c r="F165" i="4"/>
  <c r="D165" i="4"/>
  <c r="H164" i="4"/>
  <c r="F164" i="4"/>
  <c r="D164" i="4"/>
  <c r="H163" i="4"/>
  <c r="F163" i="4"/>
  <c r="D163" i="4"/>
  <c r="H162" i="4"/>
  <c r="F162" i="4"/>
  <c r="D162" i="4"/>
  <c r="H161" i="4"/>
  <c r="F161" i="4"/>
  <c r="D161" i="4"/>
  <c r="H160" i="4"/>
  <c r="F160" i="4"/>
  <c r="D160" i="4"/>
  <c r="H159" i="4"/>
  <c r="F159" i="4"/>
  <c r="D159" i="4"/>
  <c r="H158" i="4"/>
  <c r="F158" i="4"/>
  <c r="D158" i="4"/>
  <c r="H157" i="4"/>
  <c r="F157" i="4"/>
  <c r="D157" i="4"/>
  <c r="H156" i="4"/>
  <c r="F156" i="4"/>
  <c r="D156" i="4"/>
  <c r="H155" i="4"/>
  <c r="F155" i="4"/>
  <c r="D155" i="4"/>
  <c r="H154" i="4"/>
  <c r="F154" i="4"/>
  <c r="D154" i="4"/>
  <c r="H153" i="4"/>
  <c r="F153" i="4"/>
  <c r="D153" i="4"/>
  <c r="H152" i="4"/>
  <c r="F152" i="4"/>
  <c r="D152" i="4"/>
  <c r="H151" i="4"/>
  <c r="F151" i="4"/>
  <c r="D151" i="4"/>
  <c r="H150" i="4"/>
  <c r="F150" i="4"/>
  <c r="D150" i="4"/>
  <c r="H149" i="4"/>
  <c r="F149" i="4"/>
  <c r="D149" i="4"/>
  <c r="H148" i="4"/>
  <c r="F148" i="4"/>
  <c r="D148" i="4"/>
  <c r="H147" i="4"/>
  <c r="F147" i="4"/>
  <c r="D147" i="4"/>
  <c r="H146" i="4"/>
  <c r="F146" i="4"/>
  <c r="D146" i="4"/>
  <c r="H145" i="4"/>
  <c r="F145" i="4"/>
  <c r="D145" i="4"/>
  <c r="H144" i="4"/>
  <c r="F144" i="4"/>
  <c r="D144" i="4"/>
  <c r="H143" i="4"/>
  <c r="F143" i="4"/>
  <c r="D143" i="4"/>
  <c r="H142" i="4"/>
  <c r="F142" i="4"/>
  <c r="D142" i="4"/>
  <c r="H141" i="4"/>
  <c r="F141" i="4"/>
  <c r="D141" i="4"/>
  <c r="H140" i="4"/>
  <c r="F140" i="4"/>
  <c r="D140" i="4"/>
  <c r="H139" i="4"/>
  <c r="F139" i="4"/>
  <c r="D139" i="4"/>
  <c r="H138" i="4"/>
  <c r="F138" i="4"/>
  <c r="D138" i="4"/>
  <c r="H137" i="4"/>
  <c r="F137" i="4"/>
  <c r="D137" i="4"/>
  <c r="H136" i="4"/>
  <c r="F136" i="4"/>
  <c r="D136" i="4"/>
  <c r="H135" i="4"/>
  <c r="F135" i="4"/>
  <c r="D135" i="4"/>
  <c r="H134" i="4"/>
  <c r="F134" i="4"/>
  <c r="D134" i="4"/>
  <c r="H133" i="4"/>
  <c r="F133" i="4"/>
  <c r="D133" i="4"/>
  <c r="H132" i="4"/>
  <c r="F132" i="4"/>
  <c r="D132" i="4"/>
  <c r="H131" i="4"/>
  <c r="F131" i="4"/>
  <c r="D131" i="4"/>
  <c r="H130" i="4"/>
  <c r="F130" i="4"/>
  <c r="D130" i="4"/>
  <c r="H129" i="4"/>
  <c r="F129" i="4"/>
  <c r="D129" i="4"/>
  <c r="H128" i="4"/>
  <c r="F128" i="4"/>
  <c r="D128" i="4"/>
  <c r="H127" i="4"/>
  <c r="F127" i="4"/>
  <c r="D127" i="4"/>
  <c r="H126" i="4"/>
  <c r="F126" i="4"/>
  <c r="D126" i="4"/>
  <c r="H125" i="4"/>
  <c r="F125" i="4"/>
  <c r="D125" i="4"/>
  <c r="H124" i="4"/>
  <c r="F124" i="4"/>
  <c r="D124" i="4"/>
  <c r="H123" i="4"/>
  <c r="F123" i="4"/>
  <c r="D123" i="4"/>
  <c r="H122" i="4"/>
  <c r="F122" i="4"/>
  <c r="D122" i="4"/>
  <c r="H121" i="4"/>
  <c r="F121" i="4"/>
  <c r="D121" i="4"/>
  <c r="H120" i="4"/>
  <c r="F120" i="4"/>
  <c r="D120" i="4"/>
  <c r="H119" i="4"/>
  <c r="F119" i="4"/>
  <c r="D119" i="4"/>
  <c r="H118" i="4"/>
  <c r="F118" i="4"/>
  <c r="D118" i="4"/>
  <c r="H117" i="4"/>
  <c r="F117" i="4"/>
  <c r="D117" i="4"/>
  <c r="H116" i="4"/>
  <c r="F116" i="4"/>
  <c r="D116" i="4"/>
  <c r="H115" i="4"/>
  <c r="F115" i="4"/>
  <c r="D115" i="4"/>
  <c r="H114" i="4"/>
  <c r="F114" i="4"/>
  <c r="D114" i="4"/>
  <c r="H113" i="4"/>
  <c r="F113" i="4"/>
  <c r="D113" i="4"/>
  <c r="H112" i="4"/>
  <c r="F112" i="4"/>
  <c r="D112" i="4"/>
  <c r="H111" i="4"/>
  <c r="F111" i="4"/>
  <c r="D111" i="4"/>
  <c r="H110" i="4"/>
  <c r="F110" i="4"/>
  <c r="D110" i="4"/>
  <c r="H109" i="4"/>
  <c r="F109" i="4"/>
  <c r="D109" i="4"/>
  <c r="H108" i="4"/>
  <c r="F108" i="4"/>
  <c r="D108" i="4"/>
  <c r="H107" i="4"/>
  <c r="F107" i="4"/>
  <c r="D107" i="4"/>
  <c r="H106" i="4"/>
  <c r="F106" i="4"/>
  <c r="D106" i="4"/>
  <c r="H105" i="4"/>
  <c r="F105" i="4"/>
  <c r="D105" i="4"/>
  <c r="H104" i="4"/>
  <c r="F104" i="4"/>
  <c r="D104" i="4"/>
  <c r="H103" i="4"/>
  <c r="F103" i="4"/>
  <c r="D103" i="4"/>
  <c r="H102" i="4"/>
  <c r="F102" i="4"/>
  <c r="D102" i="4"/>
  <c r="H101" i="4"/>
  <c r="F101" i="4"/>
  <c r="D101" i="4"/>
  <c r="H100" i="4"/>
  <c r="F100" i="4"/>
  <c r="D100" i="4"/>
  <c r="H99" i="4"/>
  <c r="F99" i="4"/>
  <c r="D99" i="4"/>
  <c r="H98" i="4"/>
  <c r="F98" i="4"/>
  <c r="D98" i="4"/>
  <c r="H97" i="4"/>
  <c r="F97" i="4"/>
  <c r="D97" i="4"/>
  <c r="H96" i="4"/>
  <c r="F96" i="4"/>
  <c r="D96" i="4"/>
  <c r="H95" i="4"/>
  <c r="F95" i="4"/>
  <c r="D95" i="4"/>
  <c r="H94" i="4"/>
  <c r="F94" i="4"/>
  <c r="D94" i="4"/>
  <c r="H93" i="4"/>
  <c r="F93" i="4"/>
  <c r="D93" i="4"/>
  <c r="H92" i="4"/>
  <c r="F92" i="4"/>
  <c r="D92" i="4"/>
  <c r="H91" i="4"/>
  <c r="F91" i="4"/>
  <c r="D91" i="4"/>
  <c r="H90" i="4"/>
  <c r="F90" i="4"/>
  <c r="D90" i="4"/>
  <c r="H89" i="4"/>
  <c r="F89" i="4"/>
  <c r="D89" i="4"/>
  <c r="H88" i="4"/>
  <c r="F88" i="4"/>
  <c r="D88" i="4"/>
  <c r="H87" i="4"/>
  <c r="F87" i="4"/>
  <c r="D87" i="4"/>
  <c r="H86" i="4"/>
  <c r="F86" i="4"/>
  <c r="D86" i="4"/>
  <c r="H85" i="4"/>
  <c r="F85" i="4"/>
  <c r="D85" i="4"/>
  <c r="H84" i="4"/>
  <c r="F84" i="4"/>
  <c r="D84" i="4"/>
  <c r="H83" i="4"/>
  <c r="F83" i="4"/>
  <c r="D83" i="4"/>
  <c r="H82" i="4"/>
  <c r="F82" i="4"/>
  <c r="D82" i="4"/>
  <c r="H81" i="4"/>
  <c r="F81" i="4"/>
  <c r="D81" i="4"/>
  <c r="H80" i="4"/>
  <c r="F80" i="4"/>
  <c r="D80" i="4"/>
  <c r="H79" i="4"/>
  <c r="F79" i="4"/>
  <c r="D79" i="4"/>
  <c r="H78" i="4"/>
  <c r="F78" i="4"/>
  <c r="D78" i="4"/>
  <c r="H77" i="4"/>
  <c r="F77" i="4"/>
  <c r="D77" i="4"/>
  <c r="H76" i="4"/>
  <c r="F76" i="4"/>
  <c r="D76" i="4"/>
  <c r="H75" i="4"/>
  <c r="F75" i="4"/>
  <c r="D75" i="4"/>
  <c r="H74" i="4"/>
  <c r="F74" i="4"/>
  <c r="D74" i="4"/>
  <c r="H73" i="4"/>
  <c r="F73" i="4"/>
  <c r="D73" i="4"/>
  <c r="H72" i="4"/>
  <c r="F72" i="4"/>
  <c r="D72" i="4"/>
  <c r="H71" i="4"/>
  <c r="F71" i="4"/>
  <c r="D71" i="4"/>
  <c r="H70" i="4"/>
  <c r="F70" i="4"/>
  <c r="D70" i="4"/>
  <c r="H69" i="4"/>
  <c r="F69" i="4"/>
  <c r="D69" i="4"/>
  <c r="H68" i="4"/>
  <c r="F68" i="4"/>
  <c r="D68" i="4"/>
  <c r="H67" i="4"/>
  <c r="F67" i="4"/>
  <c r="D67" i="4"/>
  <c r="H66" i="4"/>
  <c r="F66" i="4"/>
  <c r="D66" i="4"/>
  <c r="H65" i="4"/>
  <c r="F65" i="4"/>
  <c r="D65" i="4"/>
  <c r="H64" i="4"/>
  <c r="F64" i="4"/>
  <c r="D64" i="4"/>
  <c r="H63" i="4"/>
  <c r="F63" i="4"/>
  <c r="D63" i="4"/>
  <c r="H62" i="4"/>
  <c r="F62" i="4"/>
  <c r="D62" i="4"/>
  <c r="H61" i="4"/>
  <c r="F61" i="4"/>
  <c r="D61" i="4"/>
  <c r="H60" i="4"/>
  <c r="F60" i="4"/>
  <c r="D60" i="4"/>
  <c r="H59" i="4"/>
  <c r="F59" i="4"/>
  <c r="D59" i="4"/>
  <c r="H58" i="4"/>
  <c r="F58" i="4"/>
  <c r="D58" i="4"/>
  <c r="H57" i="4"/>
  <c r="F57" i="4"/>
  <c r="D57" i="4"/>
  <c r="H56" i="4"/>
  <c r="F56" i="4"/>
  <c r="D56" i="4"/>
  <c r="H55" i="4"/>
  <c r="F55" i="4"/>
  <c r="D55" i="4"/>
  <c r="H54" i="4"/>
  <c r="F54" i="4"/>
  <c r="D54" i="4"/>
  <c r="H53" i="4"/>
  <c r="F53" i="4"/>
  <c r="D53" i="4"/>
  <c r="H52" i="4"/>
  <c r="F52" i="4"/>
  <c r="D52" i="4"/>
  <c r="H51" i="4"/>
  <c r="F51" i="4"/>
  <c r="D51" i="4"/>
  <c r="H50" i="4"/>
  <c r="F50" i="4"/>
  <c r="D50" i="4"/>
  <c r="H49" i="4"/>
  <c r="F49" i="4"/>
  <c r="D49" i="4"/>
  <c r="H48" i="4"/>
  <c r="F48" i="4"/>
  <c r="D48" i="4"/>
  <c r="H47" i="4"/>
  <c r="F47" i="4"/>
  <c r="D47" i="4"/>
  <c r="H46" i="4"/>
  <c r="F46" i="4"/>
  <c r="D46" i="4"/>
  <c r="H45" i="4"/>
  <c r="F45" i="4"/>
  <c r="D45" i="4"/>
  <c r="H44" i="4"/>
  <c r="F44" i="4"/>
  <c r="D44" i="4"/>
  <c r="H43" i="4"/>
  <c r="F43" i="4"/>
  <c r="D43" i="4"/>
  <c r="H42" i="4"/>
  <c r="F42" i="4"/>
  <c r="D42" i="4"/>
  <c r="H41" i="4"/>
  <c r="F41" i="4"/>
  <c r="D41" i="4"/>
  <c r="H40" i="4"/>
  <c r="F40" i="4"/>
  <c r="D40" i="4"/>
  <c r="H39" i="4"/>
  <c r="F39" i="4"/>
  <c r="D39" i="4"/>
  <c r="H38" i="4"/>
  <c r="F38" i="4"/>
  <c r="D38" i="4"/>
  <c r="H37" i="4"/>
  <c r="F37" i="4"/>
  <c r="D37" i="4"/>
  <c r="H36" i="4"/>
  <c r="F36" i="4"/>
  <c r="D36" i="4"/>
  <c r="H35" i="4"/>
  <c r="F35" i="4"/>
  <c r="D35" i="4"/>
  <c r="H34" i="4"/>
  <c r="F34" i="4"/>
  <c r="D34" i="4"/>
  <c r="H33" i="4"/>
  <c r="F33" i="4"/>
  <c r="D33" i="4"/>
  <c r="H32" i="4"/>
  <c r="F32" i="4"/>
  <c r="D32" i="4"/>
  <c r="H31" i="4"/>
  <c r="F31" i="4"/>
  <c r="D31" i="4"/>
  <c r="H30" i="4"/>
  <c r="F30" i="4"/>
  <c r="D30" i="4"/>
  <c r="H29" i="4"/>
  <c r="F29" i="4"/>
  <c r="D29" i="4"/>
  <c r="H28" i="4"/>
  <c r="F28" i="4"/>
  <c r="D28" i="4"/>
  <c r="H27" i="4"/>
  <c r="F27" i="4"/>
  <c r="D27" i="4"/>
  <c r="H26" i="4"/>
  <c r="F26" i="4"/>
  <c r="D26" i="4"/>
  <c r="H25" i="4"/>
  <c r="F25" i="4"/>
  <c r="D25" i="4"/>
  <c r="H24" i="4"/>
  <c r="F24" i="4"/>
  <c r="D24" i="4"/>
  <c r="H23" i="4"/>
  <c r="F23" i="4"/>
  <c r="D23" i="4"/>
  <c r="H22" i="4"/>
  <c r="F22" i="4"/>
  <c r="D22" i="4"/>
  <c r="H21" i="4"/>
  <c r="F21" i="4"/>
  <c r="D21" i="4"/>
  <c r="H20" i="4"/>
  <c r="F20" i="4"/>
  <c r="D20" i="4"/>
  <c r="H19" i="4"/>
  <c r="F19" i="4"/>
  <c r="D19" i="4"/>
  <c r="H18" i="4"/>
  <c r="F18" i="4"/>
  <c r="D18" i="4"/>
  <c r="H17" i="4"/>
  <c r="F17" i="4"/>
  <c r="D17" i="4"/>
  <c r="H16" i="4"/>
  <c r="F16" i="4"/>
  <c r="D16" i="4"/>
  <c r="H15" i="4"/>
  <c r="F15" i="4"/>
  <c r="D15" i="4"/>
  <c r="H14" i="4"/>
  <c r="F14" i="4"/>
  <c r="D14" i="4"/>
  <c r="H13" i="4"/>
  <c r="F13" i="4"/>
  <c r="D13" i="4"/>
  <c r="H12" i="4"/>
  <c r="F12" i="4"/>
  <c r="D12" i="4"/>
  <c r="K11" i="4"/>
  <c r="H11" i="4"/>
  <c r="F11" i="4"/>
  <c r="D11" i="4"/>
  <c r="H10" i="4"/>
  <c r="F10" i="4"/>
  <c r="D10" i="4"/>
  <c r="K9" i="4"/>
  <c r="H9" i="4"/>
  <c r="F9" i="4"/>
  <c r="D9" i="4"/>
  <c r="K8" i="4"/>
  <c r="H8" i="4"/>
  <c r="F8" i="4"/>
  <c r="D8" i="4"/>
  <c r="K7" i="4"/>
  <c r="H7" i="4"/>
  <c r="F7" i="4"/>
  <c r="D7" i="4"/>
  <c r="K6" i="4"/>
  <c r="H6" i="4"/>
  <c r="F6" i="4"/>
  <c r="D6" i="4"/>
  <c r="H5" i="4"/>
  <c r="F5" i="4"/>
  <c r="D5" i="4"/>
  <c r="H4" i="4"/>
  <c r="F4" i="4"/>
  <c r="D4" i="4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B18" i="1"/>
  <c r="E18" i="1" s="1"/>
  <c r="B17" i="1"/>
  <c r="E17" i="1" s="1"/>
  <c r="B16" i="1"/>
  <c r="E16" i="1" s="1"/>
  <c r="B15" i="1"/>
  <c r="E15" i="1" s="1"/>
  <c r="B14" i="1"/>
  <c r="E14" i="1" s="1"/>
  <c r="B13" i="1"/>
  <c r="E13" i="1" s="1"/>
  <c r="C12" i="1"/>
  <c r="B12" i="1"/>
  <c r="G8" i="1"/>
  <c r="E8" i="1"/>
  <c r="F8" i="1" s="1"/>
  <c r="D8" i="1"/>
  <c r="C8" i="1"/>
  <c r="B8" i="1"/>
  <c r="D12" i="1" l="1"/>
  <c r="E12" i="1"/>
  <c r="C18" i="10"/>
  <c r="C17" i="10"/>
  <c r="E15" i="9"/>
  <c r="C15" i="9"/>
  <c r="E14" i="9"/>
  <c r="C14" i="9"/>
  <c r="E13" i="9"/>
  <c r="C13" i="9"/>
  <c r="E12" i="9"/>
  <c r="C12" i="9"/>
  <c r="C11" i="9"/>
  <c r="E11" i="9"/>
  <c r="E10" i="9"/>
  <c r="C10" i="9"/>
  <c r="E9" i="9"/>
  <c r="C9" i="9"/>
  <c r="C8" i="9"/>
  <c r="E8" i="9"/>
  <c r="E7" i="9"/>
  <c r="C7" i="9"/>
  <c r="E6" i="9"/>
  <c r="C6" i="9"/>
  <c r="E5" i="9"/>
  <c r="C5" i="9"/>
  <c r="E4" i="9"/>
  <c r="E16" i="9" s="1"/>
  <c r="C4" i="9"/>
  <c r="E15" i="8"/>
  <c r="C15" i="8"/>
  <c r="D15" i="8" s="1"/>
  <c r="B15" i="8"/>
  <c r="I15" i="8"/>
  <c r="J15" i="8" s="1"/>
  <c r="H15" i="8"/>
  <c r="F15" i="8"/>
  <c r="G15" i="8" s="1"/>
  <c r="I14" i="8"/>
  <c r="H14" i="8"/>
  <c r="F14" i="8"/>
  <c r="E14" i="8"/>
  <c r="C14" i="8"/>
  <c r="D14" i="8" s="1"/>
  <c r="B14" i="8"/>
  <c r="E13" i="8"/>
  <c r="C13" i="8"/>
  <c r="D13" i="8" s="1"/>
  <c r="B13" i="8"/>
  <c r="I13" i="8"/>
  <c r="H13" i="8"/>
  <c r="F13" i="8"/>
  <c r="B12" i="8"/>
  <c r="I12" i="8"/>
  <c r="H12" i="8"/>
  <c r="F12" i="8"/>
  <c r="G12" i="8" s="1"/>
  <c r="C12" i="8"/>
  <c r="E12" i="8"/>
  <c r="B11" i="8"/>
  <c r="C11" i="8"/>
  <c r="D11" i="8" s="1"/>
  <c r="F11" i="8"/>
  <c r="G11" i="8" s="1"/>
  <c r="H11" i="8"/>
  <c r="I11" i="8"/>
  <c r="J11" i="8" s="1"/>
  <c r="E11" i="8"/>
  <c r="I10" i="8"/>
  <c r="B10" i="8"/>
  <c r="C10" i="8"/>
  <c r="D10" i="8" s="1"/>
  <c r="E10" i="8"/>
  <c r="F10" i="8"/>
  <c r="G10" i="8" s="1"/>
  <c r="H10" i="8"/>
  <c r="I9" i="8"/>
  <c r="E9" i="8"/>
  <c r="C9" i="8"/>
  <c r="D9" i="8" s="1"/>
  <c r="B9" i="8"/>
  <c r="F9" i="8"/>
  <c r="G9" i="8" s="1"/>
  <c r="H9" i="8"/>
  <c r="I8" i="8"/>
  <c r="J8" i="8" s="1"/>
  <c r="H8" i="8"/>
  <c r="F8" i="8"/>
  <c r="C8" i="8"/>
  <c r="D8" i="8" s="1"/>
  <c r="B8" i="8"/>
  <c r="E8" i="8"/>
  <c r="I7" i="8"/>
  <c r="J7" i="8" s="1"/>
  <c r="H7" i="8"/>
  <c r="F7" i="8"/>
  <c r="G7" i="8" s="1"/>
  <c r="E7" i="8"/>
  <c r="C7" i="8"/>
  <c r="D7" i="8" s="1"/>
  <c r="B7" i="8"/>
  <c r="I6" i="8"/>
  <c r="H6" i="8"/>
  <c r="E6" i="8"/>
  <c r="C6" i="8"/>
  <c r="B6" i="8"/>
  <c r="F6" i="8"/>
  <c r="G6" i="8" s="1"/>
  <c r="H5" i="8"/>
  <c r="F5" i="8"/>
  <c r="G5" i="8" s="1"/>
  <c r="E5" i="8"/>
  <c r="C5" i="8"/>
  <c r="B5" i="8"/>
  <c r="I5" i="8"/>
  <c r="J5" i="8" s="1"/>
  <c r="F4" i="8"/>
  <c r="E4" i="8"/>
  <c r="E16" i="8" s="1"/>
  <c r="C4" i="8"/>
  <c r="B4" i="8"/>
  <c r="B16" i="8" s="1"/>
  <c r="I4" i="8"/>
  <c r="H4" i="8"/>
  <c r="D18" i="1"/>
  <c r="C18" i="1"/>
  <c r="F18" i="1" s="1"/>
  <c r="C17" i="1"/>
  <c r="F17" i="1" s="1"/>
  <c r="D17" i="1"/>
  <c r="D16" i="1"/>
  <c r="C16" i="1"/>
  <c r="F16" i="1" s="1"/>
  <c r="C15" i="1"/>
  <c r="F15" i="1" s="1"/>
  <c r="D15" i="1"/>
  <c r="D14" i="1"/>
  <c r="C14" i="1"/>
  <c r="F14" i="1" s="1"/>
  <c r="C13" i="1"/>
  <c r="D13" i="1"/>
  <c r="J12" i="1" s="1"/>
  <c r="F12" i="1"/>
  <c r="K12" i="1"/>
  <c r="G4" i="8" l="1"/>
  <c r="F16" i="8"/>
  <c r="G16" i="8" s="1"/>
  <c r="F5" i="10" s="1"/>
  <c r="D4" i="8"/>
  <c r="C16" i="8"/>
  <c r="D16" i="8" s="1"/>
  <c r="F4" i="10" s="1"/>
  <c r="J4" i="8"/>
  <c r="I16" i="8"/>
  <c r="J16" i="8" s="1"/>
  <c r="F6" i="10" s="1"/>
  <c r="I12" i="1"/>
  <c r="L12" i="1" s="1"/>
  <c r="F13" i="1"/>
  <c r="C16" i="9"/>
  <c r="J14" i="8"/>
  <c r="G14" i="8"/>
  <c r="G8" i="8"/>
  <c r="J13" i="8"/>
  <c r="G13" i="8"/>
  <c r="J12" i="8"/>
  <c r="D12" i="8"/>
  <c r="J10" i="8"/>
  <c r="J9" i="8"/>
  <c r="J6" i="8"/>
  <c r="D6" i="8"/>
  <c r="D5" i="8"/>
  <c r="H1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8" authorId="0" shapeId="0" xr:uid="{00000000-0006-0000-0100-000002000000}">
      <text>
        <r>
          <rPr>
            <sz val="11"/>
            <color theme="1"/>
            <rFont val="Calibri"/>
            <scheme val="minor"/>
          </rPr>
          <t>→ verschoben nach "Quali-Calls" am 21.6.2026</t>
        </r>
      </text>
    </comment>
    <comment ref="N114" authorId="0" shapeId="0" xr:uid="{00000000-0006-0000-0100-000001000000}">
      <text>
        <r>
          <rPr>
            <sz val="11"/>
            <color theme="1"/>
            <rFont val="Calibri"/>
            <scheme val="minor"/>
          </rPr>
          <t>→ verschoben nach "Quali-Calls" am 29.6.2026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400-000002000000}">
      <text>
        <r>
          <rPr>
            <sz val="11"/>
            <color theme="1"/>
            <rFont val="Calibri"/>
            <scheme val="minor"/>
          </rPr>
          <t>→ verschoben nach "Sales-Calls" am 21.6.2026</t>
        </r>
      </text>
    </comment>
    <comment ref="H3" authorId="0" shapeId="0" xr:uid="{00000000-0006-0000-0400-000001000000}">
      <text>
        <r>
          <rPr>
            <sz val="11"/>
            <color theme="1"/>
            <rFont val="Calibri"/>
            <scheme val="minor"/>
          </rPr>
          <t>→ verschoben nach "Sales-Calls" am 29.6.2026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500-000001000000}">
      <text>
        <r>
          <rPr>
            <sz val="11"/>
            <color theme="1"/>
            <rFont val="Calibri"/>
            <scheme val="minor"/>
          </rPr>
          <t>→ verschoben nach "Kunden" am 21.6.2026</t>
        </r>
      </text>
    </comment>
  </commentList>
</comments>
</file>

<file path=xl/sharedStrings.xml><?xml version="1.0" encoding="utf-8"?>
<sst xmlns="http://schemas.openxmlformats.org/spreadsheetml/2006/main" count="3175" uniqueCount="1338">
  <si>
    <t>Akquise · Master-Sheet 2026</t>
  </si>
  <si>
    <t>Pipeline · Funnel · Umsatz · Zielplanung</t>
  </si>
  <si>
    <t>PIPELINE-ÜBERSICHT</t>
  </si>
  <si>
    <t>Akquise</t>
  </si>
  <si>
    <t>Quali-Calls</t>
  </si>
  <si>
    <t>Sales-Calls</t>
  </si>
  <si>
    <t>Kunden</t>
  </si>
  <si>
    <t>Conversion</t>
  </si>
  <si>
    <t>Offene Pipeline</t>
  </si>
  <si>
    <t>NACH ZIELGRUPPE</t>
  </si>
  <si>
    <t>Zielgruppe</t>
  </si>
  <si>
    <t>GESAMT</t>
  </si>
  <si>
    <t>Leads starten in „Akquise". Bei Ergebnis „Qualifiziert" / „Abgeschlossen" rückt der Lead automatisch ins nächste Blatt (per Apps-Script). Alle Zahlen hier zählen live über die Phasen-Blätter.</t>
  </si>
  <si>
    <t>ID</t>
  </si>
  <si>
    <t>Firmenname</t>
  </si>
  <si>
    <t>Ansprechpartner</t>
  </si>
  <si>
    <t>Position</t>
  </si>
  <si>
    <t>Stadt / Region</t>
  </si>
  <si>
    <t>Website</t>
  </si>
  <si>
    <t>Telefon</t>
  </si>
  <si>
    <t>E-Mail</t>
  </si>
  <si>
    <t>Quelle</t>
  </si>
  <si>
    <t>Website-Qualität</t>
  </si>
  <si>
    <t>Priorität</t>
  </si>
  <si>
    <t>Erstkontakt am</t>
  </si>
  <si>
    <t>Akquise-Ergebnis</t>
  </si>
  <si>
    <t>Wiedervorlage</t>
  </si>
  <si>
    <t>Notizen</t>
  </si>
  <si>
    <t>Coaches &amp; Berater</t>
  </si>
  <si>
    <t>Müller Partner - Personal- und Organisationsentwicklung</t>
  </si>
  <si>
    <t>Sonja Trieschmann | Eveline Siehler | Fabian Büser</t>
  </si>
  <si>
    <t>Partner</t>
  </si>
  <si>
    <t>Kassel</t>
  </si>
  <si>
    <t>https://www.muellerundpartner.de/was/coaching</t>
  </si>
  <si>
    <t>+49 561 93874 – 0</t>
  </si>
  <si>
    <t>info@muellerundpartner.de</t>
  </si>
  <si>
    <t>KI</t>
  </si>
  <si>
    <t>Schlecht</t>
  </si>
  <si>
    <t>🟡 Mittel</t>
  </si>
  <si>
    <t>Offen</t>
  </si>
  <si>
    <t>Coaching Dr. Keller</t>
  </si>
  <si>
    <t>Monika Keller</t>
  </si>
  <si>
    <t>Inhaberin</t>
  </si>
  <si>
    <t>Adendorf</t>
  </si>
  <si>
    <t>https://coaching-keller.de/persoenliches-coaching/</t>
  </si>
  <si>
    <t>01234/56789</t>
  </si>
  <si>
    <t>kontakt@coaching-keller.de</t>
  </si>
  <si>
    <t>Sehr schlecht</t>
  </si>
  <si>
    <t>🔴 Hoch</t>
  </si>
  <si>
    <t>Steuerberater &amp; Anwälte</t>
  </si>
  <si>
    <t>Kanzlei Hoffmann</t>
  </si>
  <si>
    <t>Magaret Hoffmann</t>
  </si>
  <si>
    <t>Geschäftsführerin</t>
  </si>
  <si>
    <t>Bremerhaven</t>
  </si>
  <si>
    <t>https://www.kanzlei-hoffmann.de/</t>
  </si>
  <si>
    <t>0172 – 5920020</t>
  </si>
  <si>
    <t>kontakt@kanzlei-hoffmann.de</t>
  </si>
  <si>
    <t>Steenberg Rechtsanwälte</t>
  </si>
  <si>
    <t>Jan Gregor Steenberg</t>
  </si>
  <si>
    <t>Geschäftsführer</t>
  </si>
  <si>
    <t>Karlsruhe</t>
  </si>
  <si>
    <t>https://www.kanzlei-steenberg.de/</t>
  </si>
  <si>
    <t>07231 / 1331993-0</t>
  </si>
  <si>
    <t>info@kanzlei-steenberg.de</t>
  </si>
  <si>
    <t>Anwaltskanzlei Weber</t>
  </si>
  <si>
    <t>Wilhelm Alexander Weber</t>
  </si>
  <si>
    <t>Rechtsanwalt</t>
  </si>
  <si>
    <t>Sachsen</t>
  </si>
  <si>
    <t>https://anwalt-weber.de/</t>
  </si>
  <si>
    <t>0351-476 75 47</t>
  </si>
  <si>
    <t>kanzlei@anwalt-weber.de</t>
  </si>
  <si>
    <t>Porkert Rechtsanwälte</t>
  </si>
  <si>
    <t>Sascha Porkert</t>
  </si>
  <si>
    <t>Aschaffenburg</t>
  </si>
  <si>
    <t>http://www.porkert-rechtsanwaelte.de/</t>
  </si>
  <si>
    <t>0 60 21 - 438 77 - 60</t>
  </si>
  <si>
    <t>info@PORKERT-Rechtsanwaelte.de</t>
  </si>
  <si>
    <t>Google</t>
  </si>
  <si>
    <t>Website nicht sicher</t>
  </si>
  <si>
    <t>Kaup + Goes</t>
  </si>
  <si>
    <t>https://www.kaupgoes.de/</t>
  </si>
  <si>
    <t>06021-581683</t>
  </si>
  <si>
    <t>info@kaupgoes.de</t>
  </si>
  <si>
    <t>🟢 Niedrig</t>
  </si>
  <si>
    <t>D.Waterstradt</t>
  </si>
  <si>
    <t>Diane Waterstradt</t>
  </si>
  <si>
    <t>https://www.meineanwaeltin.de/</t>
  </si>
  <si>
    <t>06021 | 581650</t>
  </si>
  <si>
    <t>DW@meineAnwaeltin.de</t>
  </si>
  <si>
    <t>Dr. Heinrich Fussbahn</t>
  </si>
  <si>
    <t>Robert Öhrlein</t>
  </si>
  <si>
    <t>https://www.rechtsanwaelte-ab.de/</t>
  </si>
  <si>
    <t>06021-5826083</t>
  </si>
  <si>
    <t>kanzlei-robert-oehrlein@web.de</t>
  </si>
  <si>
    <t>Ausbaufähig</t>
  </si>
  <si>
    <t>Fuchs und Fuchs Rechtsanwälte</t>
  </si>
  <si>
    <t>06021 362370</t>
  </si>
  <si>
    <t>Keine Website</t>
  </si>
  <si>
    <t>Keine Website vorhanden</t>
  </si>
  <si>
    <t>Claudia Pfad</t>
  </si>
  <si>
    <t>https://www.kanzlei-pfad.de/</t>
  </si>
  <si>
    <t>06021/423894</t>
  </si>
  <si>
    <t>pfadkanzlei-pfad.de</t>
  </si>
  <si>
    <t>Dirk Faust &amp; Bernd Fronemann</t>
  </si>
  <si>
    <t>Dirk Faust</t>
  </si>
  <si>
    <t>Sozietät</t>
  </si>
  <si>
    <t>https://www.faust-rechtsanwalt.de/</t>
  </si>
  <si>
    <t>06021 - 44 88 7 0</t>
  </si>
  <si>
    <t>info@faust-rechtsanwalt.de</t>
  </si>
  <si>
    <t>Ohly Zöller</t>
  </si>
  <si>
    <t>https://rae-ohly-zoeller.com/</t>
  </si>
  <si>
    <t>06021/3868330</t>
  </si>
  <si>
    <t>advokat@rae-ohly-zoeller.de</t>
  </si>
  <si>
    <t>Sehr langsame Website, kein Impressum</t>
  </si>
  <si>
    <t>Rechtsanwalt Dirk Witteck</t>
  </si>
  <si>
    <t>Dirk Witteck</t>
  </si>
  <si>
    <t>Großwallstadt</t>
  </si>
  <si>
    <t>https://www.rechtsanwalt-witteck.de/</t>
  </si>
  <si>
    <t>06022/2055-2240</t>
  </si>
  <si>
    <t>post@rechtsanwalt-witteck.de</t>
  </si>
  <si>
    <t>Kade et kade</t>
  </si>
  <si>
    <t>https://kade-kade.de/</t>
  </si>
  <si>
    <t>+49 (0) 60 21 / 150 680</t>
  </si>
  <si>
    <t>raekade@kade-kade.de</t>
  </si>
  <si>
    <t>Silke Mayerhöfer</t>
  </si>
  <si>
    <t>06021 22752</t>
  </si>
  <si>
    <t>rae-aschaffenburg</t>
  </si>
  <si>
    <t>https://www.rae-aschaffenburg.de/?c=startseite</t>
  </si>
  <si>
    <t>06021 / 4487747</t>
  </si>
  <si>
    <t>info@rae-aschaffenburg.de</t>
  </si>
  <si>
    <t>Bernhard &amp; Neumeier Janßen</t>
  </si>
  <si>
    <t>Peter Bernhard/Udo Neumeier</t>
  </si>
  <si>
    <t>06021-62552-10</t>
  </si>
  <si>
    <t>https://www.kanzlei-bernhard-und-neumeier.de/%C3%BCber-die-kanzleien/udo-neumeier/</t>
  </si>
  <si>
    <t>kanzlei@rae-bnj.de</t>
  </si>
  <si>
    <t>Anwalts Mediatorin</t>
  </si>
  <si>
    <t>Sabine Langhirt</t>
  </si>
  <si>
    <t>Meditatorin, Sozialtherapeutin, Fachanwältin für Familienrecht, Rechtsanwältin</t>
  </si>
  <si>
    <t>https://www.anwalts-mediatorin.de/</t>
  </si>
  <si>
    <t>06021 929004</t>
  </si>
  <si>
    <t>mediation@langhirt.eu</t>
  </si>
  <si>
    <t>Anwalts Kanzlei Ziemer</t>
  </si>
  <si>
    <t>Monika Ziemer</t>
  </si>
  <si>
    <t>Fachanwältin für Miet- und Wohnungseigentumsrecht/Strafrecht</t>
  </si>
  <si>
    <t>https://www.az-kanzlei.de/</t>
  </si>
  <si>
    <t>06021 44 295 3</t>
  </si>
  <si>
    <t>ziemer@az-kanzlei.de</t>
  </si>
  <si>
    <t>Rechtsanwalt Schwab</t>
  </si>
  <si>
    <t>06021 35010</t>
  </si>
  <si>
    <t>Schaeffer Rechtsanwälte</t>
  </si>
  <si>
    <t>06021 21678</t>
  </si>
  <si>
    <t>Rechtsanwalt-Stoklossa</t>
  </si>
  <si>
    <t>06021 5851270</t>
  </si>
  <si>
    <t>Drik Jenny</t>
  </si>
  <si>
    <t>Dirk Jenny</t>
  </si>
  <si>
    <t>https://www.anwalt-jenny.de/</t>
  </si>
  <si>
    <t>06021 30880</t>
  </si>
  <si>
    <t>mail@anwalt-jenny.de</t>
  </si>
  <si>
    <t>Anwaltskanzlei Susanne Steigerwald</t>
  </si>
  <si>
    <t>https://www.anwaltskanzlei-ssa.de/</t>
  </si>
  <si>
    <t>06021 443670</t>
  </si>
  <si>
    <t>Website führt Glückspiel Werbung?</t>
  </si>
  <si>
    <t>Rechtsanwältin Annette Reinheimer</t>
  </si>
  <si>
    <t>Anette Reinheimer</t>
  </si>
  <si>
    <t>https://www.anwalt-reinheimer.de/</t>
  </si>
  <si>
    <t>06021 - 58 02 91</t>
  </si>
  <si>
    <t>annette.reinheimer@t-online.de</t>
  </si>
  <si>
    <t>Bach Rechtsanwälte Fachanwälte</t>
  </si>
  <si>
    <t>Günter Bach</t>
  </si>
  <si>
    <t>https://bach-anwaelte.de/</t>
  </si>
  <si>
    <t>info@bach-anwaelte.de</t>
  </si>
  <si>
    <t>Rechtsanwälte LEEB &amp; LEEB</t>
  </si>
  <si>
    <t>Hermann Leeb</t>
  </si>
  <si>
    <t>https://www.rae-leeb.de/</t>
  </si>
  <si>
    <t>06021 - 21747</t>
  </si>
  <si>
    <t>info@rakba.de</t>
  </si>
  <si>
    <t>Michael Volmer &amp; Dr. Jens Neie</t>
  </si>
  <si>
    <t>Michael Volmer und Dr. Jens Neie</t>
  </si>
  <si>
    <t>Notare</t>
  </si>
  <si>
    <t>https://www.notaref15.de/formulare/kaufvertrag/</t>
  </si>
  <si>
    <t>06021 30 96 0</t>
  </si>
  <si>
    <t>post@notaref15.de</t>
  </si>
  <si>
    <t>Formulare</t>
  </si>
  <si>
    <t>Rechtsanwältin Eva Rombach</t>
  </si>
  <si>
    <t>06021 9017400</t>
  </si>
  <si>
    <t>Rechtsanwalt Hans Peter Fink</t>
  </si>
  <si>
    <t>06021 39950</t>
  </si>
  <si>
    <t>Beate von der Nahmer</t>
  </si>
  <si>
    <t>06021 4599032</t>
  </si>
  <si>
    <t>Rechtsanwalt Klaus Lenzen</t>
  </si>
  <si>
    <t>Klaus Lenzen</t>
  </si>
  <si>
    <t>https://www.rechtsanwalt-lenzen.de/</t>
  </si>
  <si>
    <t>06021 560 778</t>
  </si>
  <si>
    <t>info@rechtsanwalt-lenzen.de</t>
  </si>
  <si>
    <t>Dr. Koos &amp; Kollegen</t>
  </si>
  <si>
    <t>Ulrich Koos</t>
  </si>
  <si>
    <t>Gesellschafter</t>
  </si>
  <si>
    <t>https://rae-koos.de/</t>
  </si>
  <si>
    <t>06021 3548-0</t>
  </si>
  <si>
    <t>mail@rae-koos.de</t>
  </si>
  <si>
    <t>Dr. Häcker &amp; Kollegen</t>
  </si>
  <si>
    <t>Dr. Frank Häcker</t>
  </si>
  <si>
    <t>https://www.drhaecker.de/</t>
  </si>
  <si>
    <t>(06021) 454900</t>
  </si>
  <si>
    <t>kanzlei@drhaecker.de</t>
  </si>
  <si>
    <t>HAF Rechtsanwälte</t>
  </si>
  <si>
    <t>06021 36890</t>
  </si>
  <si>
    <t>Rechtsanwalt Alexander Glück</t>
  </si>
  <si>
    <t>Alexander Glück</t>
  </si>
  <si>
    <t>https://www.glueckalexander.de/</t>
  </si>
  <si>
    <t>+49 (0)6021 4399632</t>
  </si>
  <si>
    <t>info@alexanderglueck.de</t>
  </si>
  <si>
    <t>Dr. Hufnagel</t>
  </si>
  <si>
    <t>Dr. Sven Hufnagel</t>
  </si>
  <si>
    <t>https://www.anwalt-strafrecht.com/kontakt-fachanwalt-strafrecht-aschaffenburg</t>
  </si>
  <si>
    <t>(+49) 06021-21322</t>
  </si>
  <si>
    <t>anwalt@dr-hufnagel.de</t>
  </si>
  <si>
    <t>Kanzlei Rath</t>
  </si>
  <si>
    <t>Johanna Rath</t>
  </si>
  <si>
    <t>http://www.kanzleirath.de/</t>
  </si>
  <si>
    <t>0951/ 986.200</t>
  </si>
  <si>
    <t>Rechtsanwalt Robert Schmitt</t>
  </si>
  <si>
    <t>Robert Schmitt</t>
  </si>
  <si>
    <t>http://www.rechtsanwalt-schmitt.com/</t>
  </si>
  <si>
    <t>(06021) 200998</t>
  </si>
  <si>
    <t>rechtsanwalt.schmitt@t-online.de</t>
  </si>
  <si>
    <t>Rechtsänwältin Andrea Kroth-Decher</t>
  </si>
  <si>
    <t>Andrea Kroth-Decher</t>
  </si>
  <si>
    <t>https://www.kroth-decher.de/</t>
  </si>
  <si>
    <t>06021- 4525477</t>
  </si>
  <si>
    <t>kanzlei@kroth-decher.de</t>
  </si>
  <si>
    <t>Rechtsanwaltskanzlei Julia Ovchinski</t>
  </si>
  <si>
    <t>Julia Ovchinski</t>
  </si>
  <si>
    <t>https://anwalt-ovchinski.de/</t>
  </si>
  <si>
    <t>0173 7133052</t>
  </si>
  <si>
    <t>info@anwalt-ovchinski.de</t>
  </si>
  <si>
    <t>Rechtsanwälte Gerlach</t>
  </si>
  <si>
    <t>06021 219080</t>
  </si>
  <si>
    <t>Kanzlei Körzinger</t>
  </si>
  <si>
    <t>http://www.kanzlei-koerzinger.de/inhalt03.html</t>
  </si>
  <si>
    <t>06021 5829442</t>
  </si>
  <si>
    <t>Website nicht sicher und bodenlos/Kein Impressum</t>
  </si>
  <si>
    <t>Immobilien &amp; Makler</t>
  </si>
  <si>
    <t>MAINTAUNUS-Immobilien Sauer &amp; Sauer GBR</t>
  </si>
  <si>
    <t>Volkmar Sauer, Andreas Sauer</t>
  </si>
  <si>
    <t>Homburg</t>
  </si>
  <si>
    <t>https://maintaunusimmobilien.com/luxus-immobilien/</t>
  </si>
  <si>
    <t>info@maintaunus-immobilien.com</t>
  </si>
  <si>
    <t>Ihre Hausverwaltung</t>
  </si>
  <si>
    <t>Andreas Kern</t>
  </si>
  <si>
    <t>Birkenfeld</t>
  </si>
  <si>
    <t>https://www.ihre-hausverwaltung-kern.de/</t>
  </si>
  <si>
    <t>0172/7202174</t>
  </si>
  <si>
    <t>firma@ihre-hausverwaltung-kern.de</t>
  </si>
  <si>
    <t>Information auf Website: Vollständig ausgelastet</t>
  </si>
  <si>
    <t>Musik &amp; Event</t>
  </si>
  <si>
    <t>VMP Künstlerpool</t>
  </si>
  <si>
    <t>Bobby Stöcker</t>
  </si>
  <si>
    <t>Musiker</t>
  </si>
  <si>
    <t>Groß-Umstadt</t>
  </si>
  <si>
    <t>https://v-m-p.com/</t>
  </si>
  <si>
    <t>01775719570</t>
  </si>
  <si>
    <t>info@v-m-p.com</t>
  </si>
  <si>
    <t>Netzwerk</t>
  </si>
  <si>
    <t>Qualifiziert</t>
  </si>
  <si>
    <t>Steuerberater Annette Lähn</t>
  </si>
  <si>
    <t>Annette Lähn</t>
  </si>
  <si>
    <t>Steuerberater</t>
  </si>
  <si>
    <t>Frankfurt am Main</t>
  </si>
  <si>
    <t>https://www.annette-laehn.de/</t>
  </si>
  <si>
    <t>06935351511</t>
  </si>
  <si>
    <t>info@annette-laehn.de</t>
  </si>
  <si>
    <t>Veraltet, nicht vertrauensweckend, Impressum</t>
  </si>
  <si>
    <t>Hofmann Klafsky &amp; Fertig</t>
  </si>
  <si>
    <t>Nadine Hofmann, Katja Klafsky, Andreas Fertig</t>
  </si>
  <si>
    <t>Partner &amp; Vertretungsberechtigte</t>
  </si>
  <si>
    <t>www.hofmannfertig.com</t>
  </si>
  <si>
    <t>06987203390</t>
  </si>
  <si>
    <t>info@hofmannfertig.com</t>
  </si>
  <si>
    <t>OK</t>
  </si>
  <si>
    <t>Unpraktich</t>
  </si>
  <si>
    <t>LÜBECK &amp; Kollegen</t>
  </si>
  <si>
    <t>Simon Bruno, Christian Falcenberg</t>
  </si>
  <si>
    <t>Gesellschafter, Steuerberater</t>
  </si>
  <si>
    <t>https://www.luebeckonline.com/</t>
  </si>
  <si>
    <t>0692426620</t>
  </si>
  <si>
    <t>email@luebeck-gruppe.de</t>
  </si>
  <si>
    <t>nicht besonders anschaulich</t>
  </si>
  <si>
    <t>WERNLI Steuerberatung</t>
  </si>
  <si>
    <t>Fabian Wernli</t>
  </si>
  <si>
    <t>https://www.wernli-steuerberatung.com/</t>
  </si>
  <si>
    <t>01731981414</t>
  </si>
  <si>
    <t>info@wernli-steuerberatung.de</t>
  </si>
  <si>
    <t xml:space="preserve">Ausarbeitung gestaltung &amp; Farbwahl </t>
  </si>
  <si>
    <t>CHRISTIAN WAGNER</t>
  </si>
  <si>
    <t xml:space="preserve">Chrisrian Wagner </t>
  </si>
  <si>
    <t>http://wagner-stbkanzlei.de/</t>
  </si>
  <si>
    <t>06965300495</t>
  </si>
  <si>
    <t>info@wagner-stbkanzlei.de</t>
  </si>
  <si>
    <t>Gestaltung</t>
  </si>
  <si>
    <t>STEUGA Beratungs- und Treuhandgesellschaft mbH Steuerberatungsgesellschaft</t>
  </si>
  <si>
    <t xml:space="preserve">Jürgen Braun </t>
  </si>
  <si>
    <t>069747001</t>
  </si>
  <si>
    <t>keine webseite ersichtlich</t>
  </si>
  <si>
    <t>HEIM HONERMEIER</t>
  </si>
  <si>
    <t>Heim Homermeier</t>
  </si>
  <si>
    <t xml:space="preserve">Wirtschaftsprüfer, Steuerberater, Partnerschaftsgesellscaht </t>
  </si>
  <si>
    <t>https://heim-honermeier.de/</t>
  </si>
  <si>
    <t>069962420</t>
  </si>
  <si>
    <t>info@heim-honermeier.de</t>
  </si>
  <si>
    <t>für die ganzen auszeichnungen eine nicht so atraktive webseite</t>
  </si>
  <si>
    <t>Dipl.-Kfm. Thorsten Zoia</t>
  </si>
  <si>
    <t>Thorsten Zoia</t>
  </si>
  <si>
    <t>https://www.zoia-steuerberater.de</t>
  </si>
  <si>
    <t>0692999030</t>
  </si>
  <si>
    <t>info@zoia-steuerberater.de</t>
  </si>
  <si>
    <t>Gut</t>
  </si>
  <si>
    <t>Michael Rudy Steuerberater</t>
  </si>
  <si>
    <t>Michael Rudy</t>
  </si>
  <si>
    <t>https://www.steuerberater-rudy.de/</t>
  </si>
  <si>
    <t>06924003300</t>
  </si>
  <si>
    <t>info@steuerberater-rudy.com</t>
  </si>
  <si>
    <t>Michael A. Boller-Fay</t>
  </si>
  <si>
    <t>Michael Boller</t>
  </si>
  <si>
    <t>https://www.stbboller.de/</t>
  </si>
  <si>
    <t>0610922214</t>
  </si>
  <si>
    <t>michael.boller@stbboller.de</t>
  </si>
  <si>
    <t>Steuerkanzlei Peseschkian &amp; Partner</t>
  </si>
  <si>
    <t>Payam Peseschkian</t>
  </si>
  <si>
    <t>Steuerberater, Diplom Kaufmann</t>
  </si>
  <si>
    <t>https://www.stb-peseschkian.de/</t>
  </si>
  <si>
    <t>061015971621</t>
  </si>
  <si>
    <t>kanzlei@stb-paseschkian.de</t>
  </si>
  <si>
    <t>Kanzlei Pulch</t>
  </si>
  <si>
    <t>Michael, Joachim, Dominik und Richard Pulch</t>
  </si>
  <si>
    <t>https://www.pulch.de/</t>
  </si>
  <si>
    <t>0699421250</t>
  </si>
  <si>
    <t>stb@pulch.de</t>
  </si>
  <si>
    <t>Steuerbüro Friedel</t>
  </si>
  <si>
    <t>Ursula Friedel</t>
  </si>
  <si>
    <t>Steuerberaterin</t>
  </si>
  <si>
    <t>https://stb-friedel.de/</t>
  </si>
  <si>
    <t>06934874444</t>
  </si>
  <si>
    <t>info@stb-friedel.de</t>
  </si>
  <si>
    <t>ADA GmbH Steuerberatungsgesellschaft</t>
  </si>
  <si>
    <t>Eren Tunc</t>
  </si>
  <si>
    <t>https://ada-steuerberatung.de/</t>
  </si>
  <si>
    <t>06913383620</t>
  </si>
  <si>
    <t>info@ada-steuerberatung.de</t>
  </si>
  <si>
    <t>Becker &amp; Partner</t>
  </si>
  <si>
    <t>Eike Becker (Steuerberater), Walter Kehrein (Rechtsanwalt)</t>
  </si>
  <si>
    <t>Geselschaftler</t>
  </si>
  <si>
    <t>https://www.becker-frankfurt.de/</t>
  </si>
  <si>
    <t>0699074430</t>
  </si>
  <si>
    <t>mail@becker-frankfurt.de</t>
  </si>
  <si>
    <t>Hellwig - Kuhn - Roth Steuerberatung</t>
  </si>
  <si>
    <r>
      <rPr>
        <u/>
        <sz val="11"/>
        <color rgb="FF1155CC"/>
        <rFont val="Calibri"/>
      </rPr>
      <t>Steuerberater Hellwig - Kuhn - Roth Steuerberater</t>
    </r>
  </si>
  <si>
    <t>069703065</t>
  </si>
  <si>
    <t>FSU Steuer-Union Frankfurt GmbH</t>
  </si>
  <si>
    <t>Peter Graf</t>
  </si>
  <si>
    <t>https://www.fsu-frankfurt.de/</t>
  </si>
  <si>
    <t>0699552100</t>
  </si>
  <si>
    <t>info@fsu-frankfurt.de</t>
  </si>
  <si>
    <t>sh sarah happ</t>
  </si>
  <si>
    <t>Srah Happ</t>
  </si>
  <si>
    <t>http://happ-steuerberatung.de/</t>
  </si>
  <si>
    <t>06917524410</t>
  </si>
  <si>
    <t>info@happ-steuerberatung.de</t>
  </si>
  <si>
    <t>Athena Steuerberatung</t>
  </si>
  <si>
    <t>Udo Hübener</t>
  </si>
  <si>
    <t>https://athena-steuerberatung.de/</t>
  </si>
  <si>
    <t>069293536</t>
  </si>
  <si>
    <t>post@athena-steuerberatung.de</t>
  </si>
  <si>
    <t>veraltet und einseitig</t>
  </si>
  <si>
    <t>Vita Dr. Ramminger &amp; Partner</t>
  </si>
  <si>
    <t>Rechtsanwalt, Steuerberater, Notar</t>
  </si>
  <si>
    <t>https://rammingerpartner.de/</t>
  </si>
  <si>
    <t>0692972361</t>
  </si>
  <si>
    <t>post@rammingerpartner.de</t>
  </si>
  <si>
    <t>Steuerberatung Sina Neumann</t>
  </si>
  <si>
    <r>
      <rPr>
        <u/>
        <sz val="11"/>
        <color rgb="FF1155CC"/>
        <rFont val="Calibri"/>
      </rPr>
      <t>Steuerberaterin Sina Neumann</t>
    </r>
  </si>
  <si>
    <t>06997097635</t>
  </si>
  <si>
    <t>Neumann@Sina-Neumann.de</t>
  </si>
  <si>
    <t>seite in bearbeitung</t>
  </si>
  <si>
    <t xml:space="preserve">Brehm &amp; Brehm </t>
  </si>
  <si>
    <t>Dipl.-Kfm. Hans-Joachim Brehm</t>
  </si>
  <si>
    <t>Wirtschaftsprüfer, Steuerberater</t>
  </si>
  <si>
    <t>https://www.steuerkanzleibrehm.de/</t>
  </si>
  <si>
    <t>06910730130</t>
  </si>
  <si>
    <t>kontakt@steuerkanzleibrehm.de</t>
  </si>
  <si>
    <t>veraltet</t>
  </si>
  <si>
    <t>Steuerbüro Halbow</t>
  </si>
  <si>
    <t>Lothar Halbow</t>
  </si>
  <si>
    <t>https://www.stb-halbow.de/</t>
  </si>
  <si>
    <t>0610921783</t>
  </si>
  <si>
    <t>stb-halbow@online.de</t>
  </si>
  <si>
    <t>unbefriedigend</t>
  </si>
  <si>
    <t>Peggy Hummel Steuerberatung</t>
  </si>
  <si>
    <t>Peggy Hummel</t>
  </si>
  <si>
    <t>https://www.hummel-stb.de/</t>
  </si>
  <si>
    <t>06990550750</t>
  </si>
  <si>
    <t>info@hummel-stb.de</t>
  </si>
  <si>
    <t>was ist das? ist ein Versuch wert</t>
  </si>
  <si>
    <t>Steuerbüro Junghans</t>
  </si>
  <si>
    <t>Herr Junghans</t>
  </si>
  <si>
    <t>http://www.steuerbuero-junghans.de/</t>
  </si>
  <si>
    <t>069702958</t>
  </si>
  <si>
    <t>nfo@steuerbuero-junghans.de</t>
  </si>
  <si>
    <t xml:space="preserve">Sozietät Krebs &amp; Pawlik </t>
  </si>
  <si>
    <t>Julia Pawlik</t>
  </si>
  <si>
    <t>http://www.krebsundpawlik.de/</t>
  </si>
  <si>
    <t>069955095040</t>
  </si>
  <si>
    <t>info@krebsundpawlik.de</t>
  </si>
  <si>
    <t>Dipl.-Kfm. J. Wichert</t>
  </si>
  <si>
    <t xml:space="preserve">Jörg Wichert </t>
  </si>
  <si>
    <t>https://www.steuerberater-wichert.de/</t>
  </si>
  <si>
    <t>06102812880</t>
  </si>
  <si>
    <t>info@steuerberater-wichert.de</t>
  </si>
  <si>
    <t>ist in der entstehung</t>
  </si>
  <si>
    <t>SteuerberaterDr. Dirk Kuntschke</t>
  </si>
  <si>
    <t>Dirk Kuntschke</t>
  </si>
  <si>
    <t>https://www.steuerberatung-kuntschke.de/</t>
  </si>
  <si>
    <t>072213749864</t>
  </si>
  <si>
    <t>Handy: +491738307710</t>
  </si>
  <si>
    <t xml:space="preserve">Dipl. Betriebswier Günter Gauder </t>
  </si>
  <si>
    <t xml:space="preserve">Günter Gauder </t>
  </si>
  <si>
    <t>https://www.steuerberater-gauder.de/</t>
  </si>
  <si>
    <t>06102254085</t>
  </si>
  <si>
    <t>gauder@steuerberater-gauder.de</t>
  </si>
  <si>
    <t>Steuerberater Press</t>
  </si>
  <si>
    <t>Andreas Press</t>
  </si>
  <si>
    <t>https://www.steuerberater-press.org/</t>
  </si>
  <si>
    <t>06925422806</t>
  </si>
  <si>
    <t>info@steuerberater-press.org</t>
  </si>
  <si>
    <t>THW Telljohann, Henze, Winkler</t>
  </si>
  <si>
    <t>Partnerschaft</t>
  </si>
  <si>
    <t>https://www.thw-steuern.de/</t>
  </si>
  <si>
    <t>01629094969</t>
  </si>
  <si>
    <r>
      <rPr>
        <u/>
        <sz val="11"/>
        <color rgb="FF474747"/>
        <rFont val="Calibri"/>
        <scheme val="minor"/>
      </rPr>
      <t>info</t>
    </r>
    <r>
      <rPr>
        <u/>
        <sz val="11"/>
        <color rgb="FF1155CC"/>
        <rFont val="Arial"/>
      </rPr>
      <t>@thw-steuern.de</t>
    </r>
  </si>
  <si>
    <t>Müllergroß Wirtschaftsprüfer Steuerberater Partnerschaft mbB</t>
  </si>
  <si>
    <t>https://www.muellergross.de/de/impressum/index.html</t>
  </si>
  <si>
    <t>0699842090</t>
  </si>
  <si>
    <r>
      <rPr>
        <u/>
        <sz val="11"/>
        <color rgb="FF1155CC"/>
        <rFont val="Calibri"/>
      </rPr>
      <t>info@muellergross.de</t>
    </r>
  </si>
  <si>
    <t>Marinov &amp; Partner Steuerberater</t>
  </si>
  <si>
    <t>https://www.steuerberater-marinov.de/</t>
  </si>
  <si>
    <t xml:space="preserve"> +4934066149624</t>
  </si>
  <si>
    <r>
      <rPr>
        <u/>
        <sz val="11"/>
        <color rgb="FF1155CC"/>
        <rFont val="Calibri"/>
      </rPr>
      <t>info@steuerberater-marinov.de</t>
    </r>
  </si>
  <si>
    <t>Paul Weber Steuerberater</t>
  </si>
  <si>
    <t>Paul Weber</t>
  </si>
  <si>
    <t>▷ Paul Weber Steuerberater, Frankfurt am Main</t>
  </si>
  <si>
    <t>06924450981</t>
  </si>
  <si>
    <t xml:space="preserve">
info@stbweber.de</t>
  </si>
  <si>
    <t>keine Seite gefunden</t>
  </si>
  <si>
    <t>tes rechtsanwälte steuerberater</t>
  </si>
  <si>
    <t>tietze enders &amp; Partner mbB rechtsanwälte steuerberater</t>
  </si>
  <si>
    <t>https://www.teslegal.de/</t>
  </si>
  <si>
    <t>069257515620</t>
  </si>
  <si>
    <r>
      <rPr>
        <u/>
        <sz val="11"/>
        <color rgb="FF1155CC"/>
        <rFont val="Calibri"/>
      </rPr>
      <t>info@tes-partner.de</t>
    </r>
  </si>
  <si>
    <t>überarbeiten</t>
  </si>
  <si>
    <t>APRIORI</t>
  </si>
  <si>
    <t>RA StB Oliver Kethers</t>
  </si>
  <si>
    <t>Vertreter</t>
  </si>
  <si>
    <t>https://www.apriori-ra.de/</t>
  </si>
  <si>
    <t>06927272570</t>
  </si>
  <si>
    <r>
      <rPr>
        <u/>
        <sz val="11"/>
        <color rgb="FF1155CC"/>
        <rFont val="Calibri"/>
      </rPr>
      <t>info@apriori-ra.de</t>
    </r>
  </si>
  <si>
    <t>einseitig</t>
  </si>
  <si>
    <t>ARMIN SCHERF</t>
  </si>
  <si>
    <t>Armin Scherf</t>
  </si>
  <si>
    <t>https://scherf-steuerberatung.de/</t>
  </si>
  <si>
    <t>0695071242</t>
  </si>
  <si>
    <t>kanzlei@scherf-steuerberatung.de</t>
  </si>
  <si>
    <t xml:space="preserve">Steuerberater Dal Magro </t>
  </si>
  <si>
    <t>Dal Margo</t>
  </si>
  <si>
    <t>https://www.smartexperts.de/suche/searchdetail/steuerberater-dal-magro/2068206?from=portal</t>
  </si>
  <si>
    <t>069247447451</t>
  </si>
  <si>
    <t>viel zu wenige infos</t>
  </si>
  <si>
    <t>Martin K. Müller Steuerberater</t>
  </si>
  <si>
    <t>Martin Müller</t>
  </si>
  <si>
    <t>inhaber</t>
  </si>
  <si>
    <t>https://www.steuerkanzlei-martin-mueller.de/</t>
  </si>
  <si>
    <t>067829899222</t>
  </si>
  <si>
    <t>info@steuerkanzlei-martin-mueller.de</t>
  </si>
  <si>
    <t>kleine anpassungen möglich</t>
  </si>
  <si>
    <t>Leymann Steuerberatung</t>
  </si>
  <si>
    <t>https://www.steuerberatung-leymann.de</t>
  </si>
  <si>
    <t>06946939307</t>
  </si>
  <si>
    <t>Steuerberater Torlakovic</t>
  </si>
  <si>
    <t>Dragisa Torlakovic</t>
  </si>
  <si>
    <t>https://www.steuerberater-torlakovic.de/</t>
  </si>
  <si>
    <t>061019857797</t>
  </si>
  <si>
    <t>info@steuerberater-torlakovic.de</t>
  </si>
  <si>
    <t>kleine überarbeitung</t>
  </si>
  <si>
    <t>Jung &amp; Benhdya PartmbB</t>
  </si>
  <si>
    <t>Selingenstadt</t>
  </si>
  <si>
    <t>https://www.jb-steuerberater.de/</t>
  </si>
  <si>
    <t>061828955855</t>
  </si>
  <si>
    <r>
      <rPr>
        <u/>
        <sz val="11"/>
        <color rgb="FF1155CC"/>
        <rFont val="Calibri"/>
      </rPr>
      <t>info@jb-steuerberater.de</t>
    </r>
  </si>
  <si>
    <t>unausreichend</t>
  </si>
  <si>
    <t>Steuerkanzlei Bieber</t>
  </si>
  <si>
    <t>Nancy Bieber</t>
  </si>
  <si>
    <t>Steuerberaterin &amp; Diplom-Betriebswirtin</t>
  </si>
  <si>
    <t>https://www.steuerberater-frankfurt-bieber.de/</t>
  </si>
  <si>
    <t>069247575340</t>
  </si>
  <si>
    <t>service@steuerberatung-bieber.de</t>
  </si>
  <si>
    <t>zeitgemäß</t>
  </si>
  <si>
    <t>Gunter H. Reuter</t>
  </si>
  <si>
    <r>
      <rPr>
        <u/>
        <sz val="11"/>
        <color rgb="FF1155CC"/>
        <rFont val="Calibri"/>
      </rPr>
      <t>https://www.rechtsberatung-reuter.de</t>
    </r>
  </si>
  <si>
    <t>0696314032</t>
  </si>
  <si>
    <t>info@rechtsberatung-reuter.de</t>
  </si>
  <si>
    <t>Dieter Bukowski Steuerberater</t>
  </si>
  <si>
    <t>Herr Dieter Bukowski</t>
  </si>
  <si>
    <t>https://www.steuer-berater.de/frankfurt/dieter-bukowski-steuerberater-aUMF7H</t>
  </si>
  <si>
    <t>069555241</t>
  </si>
  <si>
    <t>Triebel &amp; Triebel</t>
  </si>
  <si>
    <t>Volker &amp; Jutta Triebel</t>
  </si>
  <si>
    <t>Partnerschaft (	
volker.triebel@raetriebel.com, 	
jutta.triebel@raetriebel.com)</t>
  </si>
  <si>
    <t>https://triebelundtriebel.de/die-kanzlei2/kontakt/</t>
  </si>
  <si>
    <t>0691338939</t>
  </si>
  <si>
    <t>info@raetriebel.com</t>
  </si>
  <si>
    <t>kein Impressum</t>
  </si>
  <si>
    <t>M &amp; P Metzner&amp;Partner mbB</t>
  </si>
  <si>
    <t>Dirk Metzner, Eva Becher</t>
  </si>
  <si>
    <t>https://metpa.de/impressum-datenschutz/</t>
  </si>
  <si>
    <t>069959320290</t>
  </si>
  <si>
    <t>info@metpa.de</t>
  </si>
  <si>
    <t>Henning Fritz Dipl.-Kfm. Steuerberater, Wirtschaftsprüfer</t>
  </si>
  <si>
    <t>https://web2.cylex.de/firma-home/henning-fritz-dipl--kfm--steuerberater--wirtschaftspruefer-1100837.html</t>
  </si>
  <si>
    <t>069439147</t>
  </si>
  <si>
    <t>CHRIST &amp; CO. Steuerberatungsgesellschaft mbH</t>
  </si>
  <si>
    <t>Jörg Mades</t>
  </si>
  <si>
    <t>https://www.christ-steuerberatung.de/impressum/</t>
  </si>
  <si>
    <t>0610277760</t>
  </si>
  <si>
    <t>Info@christ-co.de</t>
  </si>
  <si>
    <t>RSM EBNER STOLZ Pnerschaft mbb</t>
  </si>
  <si>
    <t xml:space="preserve">Matthias Spingler </t>
  </si>
  <si>
    <t>Verantwortlich</t>
  </si>
  <si>
    <t>Stuttgart</t>
  </si>
  <si>
    <t>https://www.ebnerstolz.de/de/</t>
  </si>
  <si>
    <t>4971120490</t>
  </si>
  <si>
    <t>info@ebnerstolz.de</t>
  </si>
  <si>
    <t>bessere struktur und übersicht</t>
  </si>
  <si>
    <t>Dr. Vaih &amp; Partner Steuerberatungsgeselschaft</t>
  </si>
  <si>
    <t>Herbert König</t>
  </si>
  <si>
    <t>https://www.vaih.de/</t>
  </si>
  <si>
    <t>0711227990</t>
  </si>
  <si>
    <t>info@​vaih.de</t>
  </si>
  <si>
    <t>Günay Mutlu Steuerberater</t>
  </si>
  <si>
    <t>Günay Mutlu</t>
  </si>
  <si>
    <t>https://www.stb-mutlu.de/</t>
  </si>
  <si>
    <t>071150090237</t>
  </si>
  <si>
    <t>mutlu@stb-mutlu.de</t>
  </si>
  <si>
    <t>ausfürliche und atraktive gestaltung</t>
  </si>
  <si>
    <t xml:space="preserve">Wolf-Peter Langner </t>
  </si>
  <si>
    <t>Dipl.-Oec. Wolf-Peter Langner</t>
  </si>
  <si>
    <t>Inhaber</t>
  </si>
  <si>
    <t>https://www.langner-steuerberater.de/</t>
  </si>
  <si>
    <t>07119604450</t>
  </si>
  <si>
    <t>poststelle@langner-steuerberater.de</t>
  </si>
  <si>
    <t>ausfürliche und atraktive gestaltung, veraltet</t>
  </si>
  <si>
    <t>Drechsel Steuerberater</t>
  </si>
  <si>
    <t>Steruerberater Drachsel</t>
  </si>
  <si>
    <t>https://www.steuerberater-drechsel.de/</t>
  </si>
  <si>
    <t>071135148680</t>
  </si>
  <si>
    <t>kontakt@steuerberater-drechsel.de</t>
  </si>
  <si>
    <t>Sonstige</t>
  </si>
  <si>
    <t>R. SIEGLE VERMOEGENSVERWALTUNG</t>
  </si>
  <si>
    <t>https://www.rsiegle.com</t>
  </si>
  <si>
    <t>07111687220</t>
  </si>
  <si>
    <t>mail@rsiegle.com</t>
  </si>
  <si>
    <t>sehr einseitig</t>
  </si>
  <si>
    <t>hetzinger Steuerberater</t>
  </si>
  <si>
    <t>Thosmas Hetzinger</t>
  </si>
  <si>
    <t>https://www.stb-hetzinger.de/</t>
  </si>
  <si>
    <t>0711619480</t>
  </si>
  <si>
    <t>info@stb-hetzinger.de</t>
  </si>
  <si>
    <t>KLAUS ELSENHEIMER Steuerberater</t>
  </si>
  <si>
    <t xml:space="preserve">Klaus Elsenheimer </t>
  </si>
  <si>
    <t>https://stb-ke.de/</t>
  </si>
  <si>
    <t>07112229730</t>
  </si>
  <si>
    <t>info@stb-ke.de</t>
  </si>
  <si>
    <t>Marcus Trapp Steuerberater</t>
  </si>
  <si>
    <t>Marcus Trapp</t>
  </si>
  <si>
    <t>https://www.steuerberater-trapp.de/</t>
  </si>
  <si>
    <t>07119012290</t>
  </si>
  <si>
    <t>info@steuerberater-trapp.de</t>
  </si>
  <si>
    <t>GEORG ANDERS Steuerberater</t>
  </si>
  <si>
    <t>Georg Anders</t>
  </si>
  <si>
    <t>http://www.georg-anders.de/</t>
  </si>
  <si>
    <t>07119768989</t>
  </si>
  <si>
    <t>info@georg-anders.de</t>
  </si>
  <si>
    <t>Siewert I. Dipl.-Betrw. Steuerberater</t>
  </si>
  <si>
    <t xml:space="preserve">Irene Siewert </t>
  </si>
  <si>
    <t>https://www.steuerberaterin-siewert.de/impressum.html</t>
  </si>
  <si>
    <t>07112362422</t>
  </si>
  <si>
    <t>info@steuerberaterin-siewert.de</t>
  </si>
  <si>
    <t>KWAPISZ JOCHIM STEUERBERATER</t>
  </si>
  <si>
    <t>KWAPISZ Joachim Steuerberatung</t>
  </si>
  <si>
    <t>https://steuerberater-tipps.de/steuerberater/Stuttgart/Kwapisz-Joachim-Steuerberater</t>
  </si>
  <si>
    <t>07112185000</t>
  </si>
  <si>
    <t>Versorgungswerk der Steuerberater in Baden-Württemberg Körperschaft des öffentlichen Rachts</t>
  </si>
  <si>
    <t>https://www.stbvw-bw.de/Impressum.html</t>
  </si>
  <si>
    <t>071122249690</t>
  </si>
  <si>
    <t>service@stbvw-bw.de</t>
  </si>
  <si>
    <t>Dipl.oec.Sauer - Steuerberater</t>
  </si>
  <si>
    <t>Stefan Sauer</t>
  </si>
  <si>
    <t>https://sauersteuer.de</t>
  </si>
  <si>
    <t>071163370380</t>
  </si>
  <si>
    <t>stefan.sauer@sauersteuer.de</t>
  </si>
  <si>
    <t>BETZ &amp; PARTNER</t>
  </si>
  <si>
    <t>Volker Betz</t>
  </si>
  <si>
    <t>https://www.betzpartner.de/res_home.html</t>
  </si>
  <si>
    <t>071191291030</t>
  </si>
  <si>
    <t>stuttgart@betzpartner.de</t>
  </si>
  <si>
    <t>unübersichtlich</t>
  </si>
  <si>
    <t>SOOVARY KEIFER &amp; OPPERMANN</t>
  </si>
  <si>
    <r>
      <rPr>
        <sz val="10"/>
        <rFont val="Arial"/>
      </rPr>
      <t xml:space="preserve">Martin Soovary, </t>
    </r>
    <r>
      <rPr>
        <u/>
        <sz val="10"/>
        <color rgb="FF1155CC"/>
        <rFont val="Arial"/>
      </rPr>
      <t>B.Sc</t>
    </r>
    <r>
      <rPr>
        <sz val="10"/>
        <rFont val="Arial"/>
      </rPr>
      <t>. Dennis Keifer, Dipl.orc</t>
    </r>
  </si>
  <si>
    <t>https://soovary.tax/leistungen</t>
  </si>
  <si>
    <t>07116200970</t>
  </si>
  <si>
    <t>info@soovary.tax</t>
  </si>
  <si>
    <t>Privatperson</t>
  </si>
  <si>
    <t>Patick Badowski</t>
  </si>
  <si>
    <t>Obernburg</t>
  </si>
  <si>
    <t>01721409933</t>
  </si>
  <si>
    <t>PatrickBadowski@web.de</t>
  </si>
  <si>
    <t>Türkis Änderungsatelier</t>
  </si>
  <si>
    <t>4960222054729</t>
  </si>
  <si>
    <t>Instagram ist als Website-Link angegeben</t>
  </si>
  <si>
    <t>Eberhard Krüger Steuerberater</t>
  </si>
  <si>
    <t>Eberhard Krüger</t>
  </si>
  <si>
    <t>http://ekrueger.de/impressum</t>
  </si>
  <si>
    <t>07116157776</t>
  </si>
  <si>
    <t>krueger@ekrueger.de</t>
  </si>
  <si>
    <t>Andrea Gräter Steuerberatung</t>
  </si>
  <si>
    <t>Andrea Gräter</t>
  </si>
  <si>
    <t>http://www.stbin-graeter.de/</t>
  </si>
  <si>
    <t>07116333396</t>
  </si>
  <si>
    <t>a.graeter@stbin-graeter.de</t>
  </si>
  <si>
    <t xml:space="preserve">mhp Stuttgart-Mitte e.K </t>
  </si>
  <si>
    <t xml:space="preserve">Marc Henning </t>
  </si>
  <si>
    <t>https://marc-henning.jimdofree.com/about/</t>
  </si>
  <si>
    <t>071134270510</t>
  </si>
  <si>
    <t>info@mhp-stuttgart-mitte.de</t>
  </si>
  <si>
    <t>M.SCHMUTZ STEUERBERATUNG</t>
  </si>
  <si>
    <t>Michaela Schmutz</t>
  </si>
  <si>
    <t>www.schmutz-steuerberatung.de</t>
  </si>
  <si>
    <t>0711 / 67480930</t>
  </si>
  <si>
    <t>info@schmutz-steuerberatung.de</t>
  </si>
  <si>
    <t>Horn und Pohl Steuerberatung</t>
  </si>
  <si>
    <t>Herr Hans-Dieter Horn, Frau Roswitha Pohl</t>
  </si>
  <si>
    <t>https://www.stb-horn-pohl.de/86/Impressum.html</t>
  </si>
  <si>
    <t>0711644960</t>
  </si>
  <si>
    <t>info@stb-horn-pohl.de</t>
  </si>
  <si>
    <t>Christian Paul Steuerberater</t>
  </si>
  <si>
    <r>
      <rPr>
        <b/>
        <sz val="10"/>
        <color theme="1"/>
        <rFont val="Arial"/>
      </rPr>
      <t>Christian Paul</t>
    </r>
    <r>
      <rPr>
        <sz val="10"/>
        <color theme="1"/>
        <rFont val="Arial"/>
      </rPr>
      <t>, Susanne Petruch</t>
    </r>
  </si>
  <si>
    <t>https://dein-neuer-steuerberater.de/</t>
  </si>
  <si>
    <t>07114709382</t>
  </si>
  <si>
    <t>welcome@christian-paul.com</t>
  </si>
  <si>
    <t>zu wenig</t>
  </si>
  <si>
    <t>S Knapp, Walz &amp; Partner</t>
  </si>
  <si>
    <t>https://www.kwpartner-steuerberater.de/index.html/impressum/</t>
  </si>
  <si>
    <t>07114070366</t>
  </si>
  <si>
    <t>info@kwpartner-steuerberater.de</t>
  </si>
  <si>
    <t>schlechte gestaltung, weckt kein vertrauen</t>
  </si>
  <si>
    <t>Zentke und Kollegen Rechtsanwalts und Steuerberatungskanzlei</t>
  </si>
  <si>
    <t>https://zantke.de/</t>
  </si>
  <si>
    <t>0715293680</t>
  </si>
  <si>
    <t>info@zantke.de</t>
  </si>
  <si>
    <r>
      <rPr>
        <b/>
        <sz val="10"/>
        <color theme="1"/>
        <rFont val="Arial"/>
      </rPr>
      <t xml:space="preserve">BUERKNER </t>
    </r>
    <r>
      <rPr>
        <sz val="10"/>
        <color theme="1"/>
        <rFont val="Arial"/>
      </rPr>
      <t>STEUERBERATUNG</t>
    </r>
  </si>
  <si>
    <t>Anni Bürkner</t>
  </si>
  <si>
    <t>https://buerkner-steuerberatung.de/</t>
  </si>
  <si>
    <t>0711168510</t>
  </si>
  <si>
    <t>a.buerkner@buerkner-steuerberatung.de</t>
  </si>
  <si>
    <t>nicht ausreichend</t>
  </si>
  <si>
    <t>GRAF KANITZ; SCHÜPPEN &amp; PARTNER</t>
  </si>
  <si>
    <t>https://www.grafkanitz.com/standorte/stuttgart/</t>
  </si>
  <si>
    <t>07112296560</t>
  </si>
  <si>
    <t>veraltet und unübersichtlich</t>
  </si>
  <si>
    <t>Udo Konzok Steuerberater</t>
  </si>
  <si>
    <t>Udo Konzok</t>
  </si>
  <si>
    <t>https://www.steuerberater-in-stuttgart.net/</t>
  </si>
  <si>
    <t>071171917830</t>
  </si>
  <si>
    <t>info@steuerberater-konzok.de</t>
  </si>
  <si>
    <t>Daniel Reuther</t>
  </si>
  <si>
    <t>01636863400</t>
  </si>
  <si>
    <t>Böhringer K. Steuerberater</t>
  </si>
  <si>
    <t>07112229600</t>
  </si>
  <si>
    <t>Jürgen Wagner Steuerberater</t>
  </si>
  <si>
    <t>07116079000</t>
  </si>
  <si>
    <r>
      <rPr>
        <sz val="10"/>
        <rFont val="Arial"/>
      </rPr>
      <t xml:space="preserve">BB Taxdesingn GmbH &amp; </t>
    </r>
    <r>
      <rPr>
        <u/>
        <sz val="10"/>
        <color rgb="FF1155CC"/>
        <rFont val="Arial"/>
      </rPr>
      <t>co.KG</t>
    </r>
  </si>
  <si>
    <t>Prof.Dr. Raimund Baumann</t>
  </si>
  <si>
    <t>Gesellschaft</t>
  </si>
  <si>
    <t>0711239633</t>
  </si>
  <si>
    <t>info@deeptax.de</t>
  </si>
  <si>
    <t>Goblirsch H</t>
  </si>
  <si>
    <t>0711604310</t>
  </si>
  <si>
    <r>
      <rPr>
        <b/>
        <sz val="10"/>
        <color theme="1"/>
        <rFont val="Arial"/>
      </rPr>
      <t>Bin mir nicht sicher</t>
    </r>
    <r>
      <rPr>
        <sz val="10"/>
        <color theme="1"/>
        <rFont val="Arial"/>
      </rPr>
      <t>:https://finanzservice-goblirsch.de/</t>
    </r>
  </si>
  <si>
    <t>Fischer M. -U. Dipl.- Wirtschaftsingenieur</t>
  </si>
  <si>
    <t>07119971326</t>
  </si>
  <si>
    <t>Thomas Dierkes Steuerberater</t>
  </si>
  <si>
    <t>Thomas Dierkes</t>
  </si>
  <si>
    <t>0711169690</t>
  </si>
  <si>
    <t>Gajek P.H.Dipl.-Betriebswirt FH Steuerberater</t>
  </si>
  <si>
    <t>07116960591</t>
  </si>
  <si>
    <t xml:space="preserve">ANDRES WOLF STEUERBERATER </t>
  </si>
  <si>
    <t>Anders Wolf</t>
  </si>
  <si>
    <t>http://www.wolfsteuer.de/index.php</t>
  </si>
  <si>
    <t>072513209343</t>
  </si>
  <si>
    <t>nicht konkurenz fähig</t>
  </si>
  <si>
    <t>Angelika Hollfelder-Maurer Steuerberater</t>
  </si>
  <si>
    <t>Angelika Hollfelder-Maurer</t>
  </si>
  <si>
    <t>07117261639</t>
  </si>
  <si>
    <t>Dipl.-Kfm.Dr.Benno Zilger</t>
  </si>
  <si>
    <t>Wirtschaftsprüfer - Steuerberater</t>
  </si>
  <si>
    <t>0711238960</t>
  </si>
  <si>
    <t>MAGNUS KAISER Steuerberster vereidigter Buchprüfer</t>
  </si>
  <si>
    <t>http://magnus-kaiser.com/</t>
  </si>
  <si>
    <t>07112525420</t>
  </si>
  <si>
    <t>info@magnus-kaiser.com</t>
  </si>
  <si>
    <t>Ulf Clormann Steuerberater</t>
  </si>
  <si>
    <t>07112998515</t>
  </si>
  <si>
    <t>Helmut R. Wörner Steuerberater/Betriebswirt</t>
  </si>
  <si>
    <t>Heimut R. Wörner</t>
  </si>
  <si>
    <t>https://ghvdf.de/mitglied/steuerberater-helmut-r-woerner-betriebswirt-vwa/</t>
  </si>
  <si>
    <t>0711567243</t>
  </si>
  <si>
    <t>info@woerner-stb.de</t>
  </si>
  <si>
    <t>Norbert Leuz Steuerberater</t>
  </si>
  <si>
    <t>Norbert Leuz</t>
  </si>
  <si>
    <t>07116365381</t>
  </si>
  <si>
    <t>Friedhelm Freiburger Steuerberater</t>
  </si>
  <si>
    <t>07119559600</t>
  </si>
  <si>
    <t>Longin Steuerberatung GmbH</t>
  </si>
  <si>
    <t>https://stuttgart.city-advisor.de/longin-steuerberatung-gmbh-steuerberatungsgesellschaft-/#google_vignette</t>
  </si>
  <si>
    <t>0711164420</t>
  </si>
  <si>
    <t xml:space="preserve">Erwin Zinser, Dipl.-Betriebswiert </t>
  </si>
  <si>
    <t>Erwin Zinser</t>
  </si>
  <si>
    <t>0711976850</t>
  </si>
  <si>
    <t>Ullrich Stauß</t>
  </si>
  <si>
    <t>0711544333</t>
  </si>
  <si>
    <t>Krauß J. Steuerberater</t>
  </si>
  <si>
    <t>07119559100</t>
  </si>
  <si>
    <t>Gert Michalski</t>
  </si>
  <si>
    <t>07117289588</t>
  </si>
  <si>
    <t>Nestle P. Steuerberater</t>
  </si>
  <si>
    <t>Peter &amp; Martin Nestle</t>
  </si>
  <si>
    <t>Steuerberater &amp; Rechtsanwalt</t>
  </si>
  <si>
    <t>Heilbronn</t>
  </si>
  <si>
    <t>https://www.nestle-steuerberater.de/</t>
  </si>
  <si>
    <t>0713178920</t>
  </si>
  <si>
    <t>kanzlei@nestle-steuerberater.de</t>
  </si>
  <si>
    <t>kein klares Impressums</t>
  </si>
  <si>
    <t>o3 steuerberater mbH</t>
  </si>
  <si>
    <t>Achim Gutöhrle</t>
  </si>
  <si>
    <t>www.o3-steuerberater.de</t>
  </si>
  <si>
    <t>071316187730</t>
  </si>
  <si>
    <t>info@o3-steuerberater.de</t>
  </si>
  <si>
    <t>hatt mehr potenzial</t>
  </si>
  <si>
    <t>Peter Schröder, Wirtschaftsprüfer, Steuerberatung</t>
  </si>
  <si>
    <t xml:space="preserve">Peter Schröder </t>
  </si>
  <si>
    <t>https://www.ps-ws.de/</t>
  </si>
  <si>
    <t>0713142303</t>
  </si>
  <si>
    <t>info@ps-ws.de</t>
  </si>
  <si>
    <t>ausarbeitung gestaltung</t>
  </si>
  <si>
    <t>Oliver Thiemt Steuerberater</t>
  </si>
  <si>
    <t>Oliver Thiemt</t>
  </si>
  <si>
    <t>https://thiemt-stb.de/</t>
  </si>
  <si>
    <t>07132345538</t>
  </si>
  <si>
    <t>thiemt@thiemt-stb.de</t>
  </si>
  <si>
    <t>Steffen Förnzler, Steuerberater</t>
  </si>
  <si>
    <t>Steffen Förnzeler</t>
  </si>
  <si>
    <t>https://www.steuerberater-foernzler.de/</t>
  </si>
  <si>
    <t>07134134660</t>
  </si>
  <si>
    <t>kanzlei@steuerberater-foernzler.de</t>
  </si>
  <si>
    <t>Dieter Betz, Steuerberater</t>
  </si>
  <si>
    <t>Dieter Betz</t>
  </si>
  <si>
    <t>http://www.steuerberater-betz.de/Steuerberater_Dieter_Betz/Willkommen.html</t>
  </si>
  <si>
    <t>071368303772</t>
  </si>
  <si>
    <t xml:space="preserve"> info@steuerberater-betz.de </t>
  </si>
  <si>
    <t>Bettina Keufer, Steuerberaterin</t>
  </si>
  <si>
    <t>Bettina  Keufer</t>
  </si>
  <si>
    <t>https://www.stb-keufer.de/about/</t>
  </si>
  <si>
    <t>0713620446</t>
  </si>
  <si>
    <t>www.stb-keufer.de</t>
  </si>
  <si>
    <t>veraltet, gestaltung</t>
  </si>
  <si>
    <t>acta Treuhand GmbH</t>
  </si>
  <si>
    <t>Norbert Erlewein</t>
  </si>
  <si>
    <t>https://acta-stb.de/</t>
  </si>
  <si>
    <t>0713160980</t>
  </si>
  <si>
    <t>info@acta-stb.de</t>
  </si>
  <si>
    <t>gestaltung</t>
  </si>
  <si>
    <t>Schellerhoff, Steuerberater</t>
  </si>
  <si>
    <t>Michael Schellerhoff</t>
  </si>
  <si>
    <t>https://schellerhoff-steuern.de/</t>
  </si>
  <si>
    <t>071332290740</t>
  </si>
  <si>
    <t>stb@schellerhoff-steuern.de</t>
  </si>
  <si>
    <t>Silke Hekler Steuerberatung</t>
  </si>
  <si>
    <t>Silke Hekler</t>
  </si>
  <si>
    <t>www.silke-hekler.de</t>
  </si>
  <si>
    <t>071388142460</t>
  </si>
  <si>
    <t>info@silke-hekler.de</t>
  </si>
  <si>
    <t>Edith Löffler Steuerberatung</t>
  </si>
  <si>
    <t>Edith Löffler</t>
  </si>
  <si>
    <t>0626197210</t>
  </si>
  <si>
    <t>Seite nicht ereichbar</t>
  </si>
  <si>
    <t>Uwe Harasko, Steuerberatung</t>
  </si>
  <si>
    <t>Uwe Harasko</t>
  </si>
  <si>
    <t>https://www.stb-harasko.de/</t>
  </si>
  <si>
    <t>07267451990</t>
  </si>
  <si>
    <t>info@stb-harasko.de</t>
  </si>
  <si>
    <t>Frank Maser, Steuerberatung</t>
  </si>
  <si>
    <t>Frank Meser</t>
  </si>
  <si>
    <t>071416889840</t>
  </si>
  <si>
    <t>Steuerberater Kanzlei Frank-Thomas</t>
  </si>
  <si>
    <t>Frank-Thomas Wick</t>
  </si>
  <si>
    <t>https://www.steuer-wick.de/</t>
  </si>
  <si>
    <t>07144880310</t>
  </si>
  <si>
    <t>info@steuer-wick.de</t>
  </si>
  <si>
    <t>Viktor Schreider Steuerberater</t>
  </si>
  <si>
    <t>Viktor Schreider</t>
  </si>
  <si>
    <t>07131642900</t>
  </si>
  <si>
    <t>René Twardella, Steuerberater</t>
  </si>
  <si>
    <t>René Twardella</t>
  </si>
  <si>
    <t>071332067112</t>
  </si>
  <si>
    <t>Lohnsteuerhilfeverein Steuerring</t>
  </si>
  <si>
    <t>Jens Deegen &amp; Alexander Köstinger (Vorstandsmitglied) Christian Munzel (Vorstandssprecher)</t>
  </si>
  <si>
    <t>Darmstadt</t>
  </si>
  <si>
    <t>https://www.steuerring.de/impressum.html</t>
  </si>
  <si>
    <t>061519784800</t>
  </si>
  <si>
    <t>info@steuerring.de</t>
  </si>
  <si>
    <t>Horn &amp; Kollegen Rechtsanwälte, Steuerberater</t>
  </si>
  <si>
    <t>Horn &amp; Kollegen</t>
  </si>
  <si>
    <t>www.horn.biz</t>
  </si>
  <si>
    <t>AL Angelika Löbich Steuerberatung</t>
  </si>
  <si>
    <t>Angelika Löbich</t>
  </si>
  <si>
    <t>https://www.alsteuerberatung.de/</t>
  </si>
  <si>
    <t>07062239210</t>
  </si>
  <si>
    <t>info@alsteuerberatung.de</t>
  </si>
  <si>
    <t>Ludwig Reichert Steuerberater</t>
  </si>
  <si>
    <t>Ludwig Reichert</t>
  </si>
  <si>
    <t>https://ludwig-reichert.de/</t>
  </si>
  <si>
    <t>07139933160</t>
  </si>
  <si>
    <t>kanzlei@ludwig-reichert.de</t>
  </si>
  <si>
    <t>Schott R. Dipl.-Finanzwirt Steuerberater</t>
  </si>
  <si>
    <t>https://germanybizlist.de/12819975234618670669/</t>
  </si>
  <si>
    <t>0713159560</t>
  </si>
  <si>
    <t>Uehlin J. Dipl.-Finanzwirt Steuerberater</t>
  </si>
  <si>
    <t>07131720044</t>
  </si>
  <si>
    <t xml:space="preserve">SZ Schneider &amp; Zajontz </t>
  </si>
  <si>
    <t> Stephan Zajontz &amp; Stephanie Zajontz</t>
  </si>
  <si>
    <t>https://www.schneider-zajontz.de/</t>
  </si>
  <si>
    <t>071313920</t>
  </si>
  <si>
    <t>info@schneider-zajontz.de</t>
  </si>
  <si>
    <t>Günther Schubert, Diplom-Kaufmann</t>
  </si>
  <si>
    <t>Günther Schubert</t>
  </si>
  <si>
    <t>071489900</t>
  </si>
  <si>
    <t xml:space="preserve">Steuerberater Roith </t>
  </si>
  <si>
    <t>Thomas Roith</t>
  </si>
  <si>
    <t>https://roith-steuerberater.de/</t>
  </si>
  <si>
    <t>07144889060</t>
  </si>
  <si>
    <t>kanzlei@stb-roith.de</t>
  </si>
  <si>
    <t>Scheurig T. Steuerberater</t>
  </si>
  <si>
    <t>06265929460</t>
  </si>
  <si>
    <t>Andreas Weil - Steuerberater</t>
  </si>
  <si>
    <t>07142773060</t>
  </si>
  <si>
    <t>Ingelfinger E. Dipl.-Kfm. Steuerberater</t>
  </si>
  <si>
    <t>0713168214</t>
  </si>
  <si>
    <t>sander RECHTSANWÄLTE NOTAR</t>
  </si>
  <si>
    <t>Ansgar Sander</t>
  </si>
  <si>
    <t>Berlin</t>
  </si>
  <si>
    <t>https://www.sander-recht.de/</t>
  </si>
  <si>
    <t>030890690</t>
  </si>
  <si>
    <t xml:space="preserve">info@sander-recht.de </t>
  </si>
  <si>
    <t>Ralf Antoni Dipl. Betriebswirt Steuerberatung</t>
  </si>
  <si>
    <t>Ralf Antoni</t>
  </si>
  <si>
    <t>https://www.diebestenderstadt.de/heilbronn/ralf-antoni-dipl-betriebswirt-steuerberatung-hn0dl0stbrwo</t>
  </si>
  <si>
    <t>07131164516</t>
  </si>
  <si>
    <t>Steuerberater Armin Uhl</t>
  </si>
  <si>
    <t>Armin Uhl</t>
  </si>
  <si>
    <t>071312035100</t>
  </si>
  <si>
    <t>Gall K. Dipl.-Finanzwirt Steuerberater</t>
  </si>
  <si>
    <t>Gall K</t>
  </si>
  <si>
    <t>07131571560</t>
  </si>
  <si>
    <t>Schmitt K. Dipl.-Kfm. Steuerberater</t>
  </si>
  <si>
    <t>Schmitt K</t>
  </si>
  <si>
    <t>Neckarsulm</t>
  </si>
  <si>
    <t>www.stb-schmitt-nsu.de</t>
  </si>
  <si>
    <t>07132922818</t>
  </si>
  <si>
    <t>Benndorf M. Steuerberater</t>
  </si>
  <si>
    <t>https://heilbronn-libersave.de/merchants/benndorf-m-steuerberater-5f2652cb68142468</t>
  </si>
  <si>
    <t>07131910971</t>
  </si>
  <si>
    <t>Rechtsanwalt &amp; Fachanwalt für Steuerrecht</t>
  </si>
  <si>
    <t>Rolf Öhrler</t>
  </si>
  <si>
    <t>https://www.rechtsanwalt-bodelshausen.de/</t>
  </si>
  <si>
    <t>07471740894</t>
  </si>
  <si>
    <t>rolf.oehrler-ra@t-online.de</t>
  </si>
  <si>
    <t>Wartungsmodus</t>
  </si>
  <si>
    <t>Plieninger J. Dipl.-Finanzwirt FH Steuerberater</t>
  </si>
  <si>
    <t>Plieninger J</t>
  </si>
  <si>
    <t>0713398500</t>
  </si>
  <si>
    <t>OLAF BAUER STEUERBERATER</t>
  </si>
  <si>
    <t>Olaf Bauer</t>
  </si>
  <si>
    <t>Nürnberg</t>
  </si>
  <si>
    <t>https://www.steuerkanzlei-bauer.de/</t>
  </si>
  <si>
    <t>0911205530</t>
  </si>
  <si>
    <t>olaf.bauer@steuerkanzlei-bauer.de</t>
  </si>
  <si>
    <t>bessere gestaltung möglich</t>
  </si>
  <si>
    <t>Bauer + Fritzsch WP/StB GbR</t>
  </si>
  <si>
    <t>Bauer Gisela, Michael Fritzsch</t>
  </si>
  <si>
    <t>http://571124758.swh.strato-hosting.eu/</t>
  </si>
  <si>
    <t>091124010</t>
  </si>
  <si>
    <t>kanzlei@bauer-fritzsch.de</t>
  </si>
  <si>
    <t>bessere gestaltung möglich, aufbau</t>
  </si>
  <si>
    <t>Puschner Steuerberatung</t>
  </si>
  <si>
    <t>Matthias Puschner</t>
  </si>
  <si>
    <t>https://www.puschner-steuerberatung.de/</t>
  </si>
  <si>
    <t>0911364011</t>
  </si>
  <si>
    <t>info@puschner-stb.de</t>
  </si>
  <si>
    <t>Dipl.-Kfm. Günter Ramstöck</t>
  </si>
  <si>
    <t>Günter Römstöck</t>
  </si>
  <si>
    <t>0911209999</t>
  </si>
  <si>
    <t>habe keine Seite ereicht</t>
  </si>
  <si>
    <t>Gleisl &amp; Partner Steuerberater mbB</t>
  </si>
  <si>
    <t>http://571126679.swh.strato-hosting.eu/</t>
  </si>
  <si>
    <t>0911372970</t>
  </si>
  <si>
    <t>Info@Kanzlei-Gleisl.de</t>
  </si>
  <si>
    <t>pilny Pilny &amp; Kollegen GbR</t>
  </si>
  <si>
    <t>http://www.lothar-pilny.de/impressum/index.php</t>
  </si>
  <si>
    <t>09113678790</t>
  </si>
  <si>
    <t>info@lothar-pilny.de</t>
  </si>
  <si>
    <t>ausbaufähig, zu wenig</t>
  </si>
  <si>
    <t xml:space="preserve">Taxvision GmbH </t>
  </si>
  <si>
    <t>Hof</t>
  </si>
  <si>
    <t>https://www.taxvision.info/</t>
  </si>
  <si>
    <t>092811404440</t>
  </si>
  <si>
    <t>info@taxvision.info</t>
  </si>
  <si>
    <t>für so eine größe zu schlecht gestaltet versuch wäre es wert</t>
  </si>
  <si>
    <t>Klaus Ringler Steuerberater</t>
  </si>
  <si>
    <t>0911940750</t>
  </si>
  <si>
    <t>Catrin Seel Steuerberatung</t>
  </si>
  <si>
    <t>Catrin Seel</t>
  </si>
  <si>
    <t>https://catrin-seel-steuerberatung.de/</t>
  </si>
  <si>
    <t>091189313230</t>
  </si>
  <si>
    <t>post@catrin-seel-steuerberatung.de</t>
  </si>
  <si>
    <t>Karlheinz Brunner Diplom-Kaufmann / Steuerberater</t>
  </si>
  <si>
    <t>http://www.steuerkanzlei-brunner.de/</t>
  </si>
  <si>
    <t>09114467044</t>
  </si>
  <si>
    <t>mail@steuerkanzlei-brunner.de</t>
  </si>
  <si>
    <t>ist keine ordentliche seite</t>
  </si>
  <si>
    <t>Steuerkanzlei Albig</t>
  </si>
  <si>
    <t>Susanne Veitel-Albig</t>
  </si>
  <si>
    <t>https://kanzlei-albig.de/</t>
  </si>
  <si>
    <t>0911459990</t>
  </si>
  <si>
    <t>info@kanzlei-albig.de</t>
  </si>
  <si>
    <t>Susanne Boas Steuerberater</t>
  </si>
  <si>
    <t>Susanne Boas</t>
  </si>
  <si>
    <t>http://susanne-boas.de/5.html</t>
  </si>
  <si>
    <t>09115444990</t>
  </si>
  <si>
    <t>s.boas@susanne-boas.de</t>
  </si>
  <si>
    <t>Stefan Rademacher Steuerberater</t>
  </si>
  <si>
    <t>Dipl.-Kfm. Stefan Rademacher</t>
  </si>
  <si>
    <t>https://www.rademacher-kanzlei.de/</t>
  </si>
  <si>
    <t>091195889481</t>
  </si>
  <si>
    <t>info@rademacher-kanzlei.de</t>
  </si>
  <si>
    <t>Streit Harald Steuerberater</t>
  </si>
  <si>
    <t>Streit Harald</t>
  </si>
  <si>
    <t>091137669710</t>
  </si>
  <si>
    <t>Gudrun Gutmann</t>
  </si>
  <si>
    <t>https://www.stk-gutmann.de/</t>
  </si>
  <si>
    <t>0911688690</t>
  </si>
  <si>
    <t>info@stk-gutmann.de</t>
  </si>
  <si>
    <t>Horst Gögelein</t>
  </si>
  <si>
    <t>http://steuerberater-goegelein.de/</t>
  </si>
  <si>
    <t>0911500033</t>
  </si>
  <si>
    <t>info@steuerberater-goegelein.de</t>
  </si>
  <si>
    <t>Albert Zwingel Steuerberater</t>
  </si>
  <si>
    <t>Albert Zwingel</t>
  </si>
  <si>
    <t>http://www.steuerkanzlei-zwingel.de/</t>
  </si>
  <si>
    <t>09119601824</t>
  </si>
  <si>
    <t>info@steuerkanzlei-zwingel.de</t>
  </si>
  <si>
    <t>Krach Josef Steuerberater</t>
  </si>
  <si>
    <t>Krach Josef</t>
  </si>
  <si>
    <t>0911463520</t>
  </si>
  <si>
    <t>MÜHRING Steuerberatung</t>
  </si>
  <si>
    <t>Mühring Antje</t>
  </si>
  <si>
    <t>https://www.muehring-de.com/</t>
  </si>
  <si>
    <t>09115404490</t>
  </si>
  <si>
    <t>muehring - de [dot] com</t>
  </si>
  <si>
    <t>Meixner GbR Rechtsanwälte</t>
  </si>
  <si>
    <t>091137650030</t>
  </si>
  <si>
    <t>Susanne Hagemann Steuerberaterin</t>
  </si>
  <si>
    <t>Susanne Hagemann</t>
  </si>
  <si>
    <t>https://stb-hagemann.de/</t>
  </si>
  <si>
    <t>info@stb-hagemann.de</t>
  </si>
  <si>
    <t>(09119594320) nicht sicher ob richtig</t>
  </si>
  <si>
    <t>Markus Brock Steuerberater</t>
  </si>
  <si>
    <t xml:space="preserve">Markus Brock </t>
  </si>
  <si>
    <t>0911678493</t>
  </si>
  <si>
    <t>Heinz Netter Steuerberater</t>
  </si>
  <si>
    <t>Heinz Netter</t>
  </si>
  <si>
    <t>0911422230</t>
  </si>
  <si>
    <t>Matthias Kauer Steuerberater</t>
  </si>
  <si>
    <t>Matthias Kauer</t>
  </si>
  <si>
    <t>01728143693</t>
  </si>
  <si>
    <t>Elvira Knörr Steuerberaterin</t>
  </si>
  <si>
    <t>Elvira Knörr</t>
  </si>
  <si>
    <t>https://www.facebook.com/eknoerrsteuerberatung</t>
  </si>
  <si>
    <t>0911994500</t>
  </si>
  <si>
    <t>hohes potenzial</t>
  </si>
  <si>
    <t>Pfaffenberger Andreas Steuerberater</t>
  </si>
  <si>
    <t>Pfaffenberger Andreas</t>
  </si>
  <si>
    <t>09119593660</t>
  </si>
  <si>
    <t>Steuerkanzlei Saskia Klug</t>
  </si>
  <si>
    <t>Saskia Klug</t>
  </si>
  <si>
    <t>09119296241</t>
  </si>
  <si>
    <t>Steuerkanzlei Carmen Hofmann</t>
  </si>
  <si>
    <t>Carmen Hofmann</t>
  </si>
  <si>
    <t>09115049920</t>
  </si>
  <si>
    <t>Steuerberater Norbert Frenzel</t>
  </si>
  <si>
    <t>Norbert Frenzel</t>
  </si>
  <si>
    <t>09114317770</t>
  </si>
  <si>
    <t>Günter Grafen Steuerberater</t>
  </si>
  <si>
    <t>Günter Grafen</t>
  </si>
  <si>
    <t>0911203573</t>
  </si>
  <si>
    <t>Harald Komma - Steuerberater und Fachberater für Internationales</t>
  </si>
  <si>
    <t>Harald Komma</t>
  </si>
  <si>
    <t>01717514515</t>
  </si>
  <si>
    <t>Steuerkanzlei Specht</t>
  </si>
  <si>
    <t>Magdalena Spacht</t>
  </si>
  <si>
    <t>https://www.steuerkanzleispecht.de/</t>
  </si>
  <si>
    <t>083879242156</t>
  </si>
  <si>
    <t>info@steuerkanzleispecht.de</t>
  </si>
  <si>
    <t>HEID Steuerberatung</t>
  </si>
  <si>
    <t>Martin Heid</t>
  </si>
  <si>
    <t xml:space="preserve">Geschäftsführer </t>
  </si>
  <si>
    <t>Speyer</t>
  </si>
  <si>
    <t>www.heid-steuerberatung.de</t>
  </si>
  <si>
    <t>06232651010</t>
  </si>
  <si>
    <t>info@heid-steuerberatung.de</t>
  </si>
  <si>
    <t>Jandl Hans-Dieter Steuerberater</t>
  </si>
  <si>
    <t>Jandl Hans-Dieter</t>
  </si>
  <si>
    <t>www.steuerkanzlei-jandl.de</t>
  </si>
  <si>
    <t>09116327272</t>
  </si>
  <si>
    <t>keine gefunden</t>
  </si>
  <si>
    <t>Geyer Erwin Dipl.-Volksw. Steuerberater</t>
  </si>
  <si>
    <t>Geyer Erwin</t>
  </si>
  <si>
    <t>0911492268</t>
  </si>
  <si>
    <t>Hierl Albert Steuerberater</t>
  </si>
  <si>
    <t>Hierl Albert</t>
  </si>
  <si>
    <t>0911565653</t>
  </si>
  <si>
    <t>Ruth Fischer</t>
  </si>
  <si>
    <t>0911707097</t>
  </si>
  <si>
    <t>WALTER KOHLER &amp; PARTNER</t>
  </si>
  <si>
    <t>Walter Kohler</t>
  </si>
  <si>
    <t>https://walter-kohler.de/</t>
  </si>
  <si>
    <t>0919473450</t>
  </si>
  <si>
    <t>info@walter-kohler.de</t>
  </si>
  <si>
    <t>KKP Köning &amp; Partner</t>
  </si>
  <si>
    <t>https://www.kanzlei-kkp.de/</t>
  </si>
  <si>
    <t>091193790</t>
  </si>
  <si>
    <t>Domain Reserviert keine Seite</t>
  </si>
  <si>
    <t>Manfred Knaak Steuerberater</t>
  </si>
  <si>
    <t>0911995430</t>
  </si>
  <si>
    <t>Michael Meier Steuerberatung</t>
  </si>
  <si>
    <t xml:space="preserve">Michael Meier </t>
  </si>
  <si>
    <t>Grünwald</t>
  </si>
  <si>
    <t>https://www.enno-stb.de/</t>
  </si>
  <si>
    <t>08932130997</t>
  </si>
  <si>
    <t>ausbaufähig</t>
  </si>
  <si>
    <t>Weber + Partner Steuerberatung</t>
  </si>
  <si>
    <t>Weber &amp; Partner</t>
  </si>
  <si>
    <t>Dortmund</t>
  </si>
  <si>
    <t>www.weber-partner.net</t>
  </si>
  <si>
    <t>02312269330</t>
  </si>
  <si>
    <t>keine Seite ereicht</t>
  </si>
  <si>
    <t>Gerhard Müller Steuerberater</t>
  </si>
  <si>
    <t xml:space="preserve">Gerhard Müller </t>
  </si>
  <si>
    <t>https://www.steuerberater-mueller-do.de/</t>
  </si>
  <si>
    <t>02319144360</t>
  </si>
  <si>
    <t>steuerberater . mueller @ gmx . de</t>
  </si>
  <si>
    <t>one page sehr simpel kein impressum</t>
  </si>
  <si>
    <t>Frank Heinke Steuerberater</t>
  </si>
  <si>
    <t>Frank Heinke</t>
  </si>
  <si>
    <t>https://www.steuerberatung-heinke.de/</t>
  </si>
  <si>
    <t>023128240959</t>
  </si>
  <si>
    <t>info@steuerberatung-heinke.de</t>
  </si>
  <si>
    <t>Schöbel Steuerberater</t>
  </si>
  <si>
    <t>https://www.steuerberater-schoebel.de/</t>
  </si>
  <si>
    <t>0231614236</t>
  </si>
  <si>
    <r>
      <rPr>
        <u/>
        <sz val="11"/>
        <color rgb="FF1155CC"/>
        <rFont val="Calibri"/>
      </rPr>
      <t>steuerberater-schoebel@datevnet.de</t>
    </r>
  </si>
  <si>
    <t>ist ausbaufähig !!!!</t>
  </si>
  <si>
    <t>Peter Standel Steuerberater</t>
  </si>
  <si>
    <t>Peter Stendel</t>
  </si>
  <si>
    <t>http://www.stendel-stb.de/</t>
  </si>
  <si>
    <t>02314764150</t>
  </si>
  <si>
    <t>info@stendel-stb.de</t>
  </si>
  <si>
    <t>one page sehr simpel</t>
  </si>
  <si>
    <t>Lea-C. Sielaff Steuerberatung</t>
  </si>
  <si>
    <t>Lea-Christina Sielaff</t>
  </si>
  <si>
    <t>http://www.sielaff-stb.de/</t>
  </si>
  <si>
    <t>023156764180</t>
  </si>
  <si>
    <t>Sielaff@Sielaff-Stb.De</t>
  </si>
  <si>
    <t>Cornelia Graap-Osthof Steuerberaterin</t>
  </si>
  <si>
    <t xml:space="preserve">Cornelia Graap-Osthof </t>
  </si>
  <si>
    <t>https://www.graap-osthof.de/</t>
  </si>
  <si>
    <t>02316070000</t>
  </si>
  <si>
    <t>stb@graap-osthof.de</t>
  </si>
  <si>
    <t>nicht einladend</t>
  </si>
  <si>
    <t>Steuerberater Grimm &amp; Koritzius</t>
  </si>
  <si>
    <t>https://stb-grimm-koritzius.de/</t>
  </si>
  <si>
    <t>02319520120</t>
  </si>
  <si>
    <t>info@stb-grimm-koritzius.de</t>
  </si>
  <si>
    <t>sehr simpel</t>
  </si>
  <si>
    <t>Steuerberater Robert Klemme</t>
  </si>
  <si>
    <t>Robert Klemme</t>
  </si>
  <si>
    <t>https://www.steuerberater-klemme.de/</t>
  </si>
  <si>
    <t>023194152260</t>
  </si>
  <si>
    <r>
      <rPr>
        <u/>
        <sz val="10"/>
        <color rgb="FF1155CC"/>
        <rFont val="Arial, Helvetica, sans-serif"/>
      </rPr>
      <t>info@steuerberater-klemme.d</t>
    </r>
    <r>
      <rPr>
        <sz val="10"/>
        <rFont val="Arial, Helvetica, sans-serif"/>
      </rPr>
      <t>e</t>
    </r>
  </si>
  <si>
    <t>Frank Witte Steuerberater</t>
  </si>
  <si>
    <t>Frank Witte</t>
  </si>
  <si>
    <t>https://www.steuerberater-witte.de/</t>
  </si>
  <si>
    <t>02315620210</t>
  </si>
  <si>
    <t>stb.witte.web@gmx.de</t>
  </si>
  <si>
    <t>was ist das ?</t>
  </si>
  <si>
    <t>ANJA WEINGARTZ, M.A.</t>
  </si>
  <si>
    <t>Anja Weingartz</t>
  </si>
  <si>
    <t>https://www.steuerberatung-weingartz.de/</t>
  </si>
  <si>
    <t>02314278690</t>
  </si>
  <si>
    <t>a.weingartz@stb-weingartz.de</t>
  </si>
  <si>
    <t>Karl Heinz Tewes Steuerberater</t>
  </si>
  <si>
    <t>Karl Heinz Tewes</t>
  </si>
  <si>
    <t>https://www.tewes-stb.de/</t>
  </si>
  <si>
    <t>0231462050</t>
  </si>
  <si>
    <t>tewes.StB@t-online.de</t>
  </si>
  <si>
    <t>sehr viel potenzial</t>
  </si>
  <si>
    <t>Rainer Wechsel Steuerberater</t>
  </si>
  <si>
    <t xml:space="preserve">Reiner Wechsel </t>
  </si>
  <si>
    <t>http://stb-wechsel.de/index.html</t>
  </si>
  <si>
    <t>023194197301</t>
  </si>
  <si>
    <t>info@stb-wechsel.de</t>
  </si>
  <si>
    <t>Sandra Reich, Steuerberaterin</t>
  </si>
  <si>
    <t>Asandra Reich</t>
  </si>
  <si>
    <t>https://stb-dortmund.de/</t>
  </si>
  <si>
    <t>02311335040</t>
  </si>
  <si>
    <t>info@stb-dortmund.de</t>
  </si>
  <si>
    <t>überfült, nicht ansprechend</t>
  </si>
  <si>
    <t>STEFAN FEISSEL Steuerberater</t>
  </si>
  <si>
    <t>Stefan Feissel</t>
  </si>
  <si>
    <t>https://www.steuerkanzlei-dortmund.de/</t>
  </si>
  <si>
    <t>0231486308</t>
  </si>
  <si>
    <t>info@steuerkanzlei-dortmund.de</t>
  </si>
  <si>
    <t>Refflinghaus &amp; Kraplitz Steuerberater</t>
  </si>
  <si>
    <t>Krampitz und Partner mbB Steuerberater Partnerschaftsgesellschaft mbB</t>
  </si>
  <si>
    <t>https://www.steuerberatung-krampitz.de/</t>
  </si>
  <si>
    <t>02318805540</t>
  </si>
  <si>
    <t>info@steuerberatung-krampitz.d</t>
  </si>
  <si>
    <t>Petra Hans Steuerberaterin</t>
  </si>
  <si>
    <t>Petra Hans</t>
  </si>
  <si>
    <t>02345887171</t>
  </si>
  <si>
    <t>Hamp Steuerberatung</t>
  </si>
  <si>
    <t>Steuerberatung Hampe</t>
  </si>
  <si>
    <t>https://www.hampe-stb.de/</t>
  </si>
  <si>
    <t>02314422200</t>
  </si>
  <si>
    <t>info@hampe-stb.de</t>
  </si>
  <si>
    <t>viel Luft nach oben</t>
  </si>
  <si>
    <t>Aleksee Karl Partnerschaft mbB</t>
  </si>
  <si>
    <t>https://www.deinesteuerkanzlei.de/</t>
  </si>
  <si>
    <t>0230911030</t>
  </si>
  <si>
    <t>info@deinesteuerkanzlei.de</t>
  </si>
  <si>
    <t>Adriana Sok Steuerberatin</t>
  </si>
  <si>
    <t xml:space="preserve">Adriana Sok </t>
  </si>
  <si>
    <t>https://www.adrianesok-stb.de/</t>
  </si>
  <si>
    <t>023056398748</t>
  </si>
  <si>
    <t>info@adrianesok-stb.de</t>
  </si>
  <si>
    <t>Heike Schrade Steuerberaterin</t>
  </si>
  <si>
    <t xml:space="preserve">Heike Schrade </t>
  </si>
  <si>
    <t>https://stb-schrade.de/</t>
  </si>
  <si>
    <t>052829693200</t>
  </si>
  <si>
    <r>
      <rPr>
        <b/>
        <u/>
        <sz val="10"/>
        <color rgb="FF1155CC"/>
        <rFont val="Calibri"/>
      </rPr>
      <t>kontakt@stb-schrade.de</t>
    </r>
  </si>
  <si>
    <t xml:space="preserve">Flore Rechtsanwälte  Steuerberatung </t>
  </si>
  <si>
    <t>http://www.flore-do.eu/</t>
  </si>
  <si>
    <t>02315342530</t>
  </si>
  <si>
    <r>
      <rPr>
        <u/>
        <sz val="12"/>
        <color rgb="FF1155CC"/>
        <rFont val="&quot;Times New Roman&quot;"/>
      </rPr>
      <t>flore@flore-do.eu</t>
    </r>
  </si>
  <si>
    <t>denken ihre Seite ist ein Buch</t>
  </si>
  <si>
    <t>Gerd Sack Steuerberater</t>
  </si>
  <si>
    <t>Gerd Sack</t>
  </si>
  <si>
    <t>https://www.kanzlei-sack-dortmund.de/aktuelles.html</t>
  </si>
  <si>
    <t>0231332320</t>
  </si>
  <si>
    <t>info@kanzlei-sack-dortmund.de</t>
  </si>
  <si>
    <t>Volker Mühlenkord Steuerberater</t>
  </si>
  <si>
    <t>Volker Mühlenkord</t>
  </si>
  <si>
    <t>0231163451</t>
  </si>
  <si>
    <t>Steuerberater Sozietät M. Rudnik - C. Michalski</t>
  </si>
  <si>
    <t>0231579465</t>
  </si>
  <si>
    <t xml:space="preserve">Schaefermeyer Rechtsanwälte </t>
  </si>
  <si>
    <t>https://www.schaefermeyer.net/index.php?id=58</t>
  </si>
  <si>
    <t>02319920430</t>
  </si>
  <si>
    <t>post@schaefermeyer.net</t>
  </si>
  <si>
    <t>WISTAG Wirtschafts- und Steuerberatung</t>
  </si>
  <si>
    <t>Detlef Thomi/Andrea Gulyas</t>
  </si>
  <si>
    <t>www.wistagonline.de</t>
  </si>
  <si>
    <t>023158449910</t>
  </si>
  <si>
    <t>info@wistagonline.de</t>
  </si>
  <si>
    <t>Silvia Bonnemann Steuerberaterin</t>
  </si>
  <si>
    <t>Silvia Bonnemann</t>
  </si>
  <si>
    <t>https://www.altbayerischer.de/lohnsteuerhilfe/bonnemann-dortmund-brackel/</t>
  </si>
  <si>
    <t>0231250281</t>
  </si>
  <si>
    <t>bonnemann@altbayerischer.de</t>
  </si>
  <si>
    <t>Corinna Petermeier Steuerberatung</t>
  </si>
  <si>
    <t>Corinna Petermeier</t>
  </si>
  <si>
    <t>https://www.petermeier-steuerberatung.de/Impressum/</t>
  </si>
  <si>
    <t>02315581484</t>
  </si>
  <si>
    <t>office@petermeier-steuerberatung . de</t>
  </si>
  <si>
    <t>Steuerberater Dipl. Finanzwirt Max Schönfelder</t>
  </si>
  <si>
    <t>Max Schönfelder</t>
  </si>
  <si>
    <t>www.steuerberatung-schoenfelder.de</t>
  </si>
  <si>
    <t>023073331</t>
  </si>
  <si>
    <t>info@steuerberatung-schoenfelder.de</t>
  </si>
  <si>
    <t>was ist das?</t>
  </si>
  <si>
    <t>Peter Tennies Steuerberater</t>
  </si>
  <si>
    <t>Peter Tennies</t>
  </si>
  <si>
    <t>01795545426</t>
  </si>
  <si>
    <t>Alfred Pake Steuerberater</t>
  </si>
  <si>
    <t>Alfred Pake</t>
  </si>
  <si>
    <t>https://www.11880.com/branchenbuch/dortmund/081645047B100461570/alfred-pake-steuerberatung.html</t>
  </si>
  <si>
    <t>0231129563</t>
  </si>
  <si>
    <t>pake.alfred@t-online.de</t>
  </si>
  <si>
    <t>Prof. Dr. Rühlemann &amp; Albrecht, Wirtschaftsprüfer | Steuerberater</t>
  </si>
  <si>
    <t>München</t>
  </si>
  <si>
    <t>https://www.ruehlemann.de/content/inhalte/impressum/index.html</t>
  </si>
  <si>
    <t>089414245740</t>
  </si>
  <si>
    <t>gottfried@ruehlemann.de</t>
  </si>
  <si>
    <t>ASG Allgemefine Steuerberatung GmbH</t>
  </si>
  <si>
    <t>https://asg-steuerberater.biz/impressum/</t>
  </si>
  <si>
    <t>0898888240 / 089786152</t>
  </si>
  <si>
    <t>asgmuenchen@asg-steuerberater.de</t>
  </si>
  <si>
    <t>Hirschmann Christoph Dipl.-Kfm. Steuerberater</t>
  </si>
  <si>
    <t>0230514222</t>
  </si>
  <si>
    <t>Heimann &amp; Drabas Steuerberater</t>
  </si>
  <si>
    <t>02305356040</t>
  </si>
  <si>
    <t>Akquise-Tracking 2026</t>
  </si>
  <si>
    <t>Tägliche Kalt-Akquise Aktivitäten · Quoten werden automatisch berechnet</t>
  </si>
  <si>
    <t>Datum</t>
  </si>
  <si>
    <t>Wählversuche</t>
  </si>
  <si>
    <t>Gespräche mit Empfang</t>
  </si>
  <si>
    <t>Quote
 Empfang</t>
  </si>
  <si>
    <t>Gespräche mit Entscheider</t>
  </si>
  <si>
    <t>Quote
 Empfang Überwindung</t>
  </si>
  <si>
    <t>Termine vereinbart</t>
  </si>
  <si>
    <t>Quote
 Quali-Call</t>
  </si>
  <si>
    <t>Kategorie</t>
  </si>
  <si>
    <t>⌀ Schnitt</t>
  </si>
  <si>
    <t>Gespräch mit Empfang</t>
  </si>
  <si>
    <t>Quote Empfang</t>
  </si>
  <si>
    <t>Quote Empfang Überwindung</t>
  </si>
  <si>
    <t>Quote Quali-Call</t>
  </si>
  <si>
    <t>Quali-Call am</t>
  </si>
  <si>
    <t>Quali-Ergebnis</t>
  </si>
  <si>
    <t>Bedarf / Notizen</t>
  </si>
  <si>
    <t>L-047</t>
  </si>
  <si>
    <t>1775719570</t>
  </si>
  <si>
    <t>L-113</t>
  </si>
  <si>
    <t>Closing-Call am</t>
  </si>
  <si>
    <t>Leistungen</t>
  </si>
  <si>
    <t>Angebotsvolumen (€)</t>
  </si>
  <si>
    <t>Leistungsbeginn</t>
  </si>
  <si>
    <t>Sales-Ergebnis</t>
  </si>
  <si>
    <t>Website Überarbeitung, SEO Grundlagen, Admin Bereich, ...(Siehe Angebot)</t>
  </si>
  <si>
    <t>Abgeschlossen</t>
  </si>
  <si>
    <t>Erstellung eines profesionellen Online-Auftritts für seine Wohnung. Inklusive automatisiertem Kalender mit Kontaktanfrage</t>
  </si>
  <si>
    <t>Auftragsvolumen (€)</t>
  </si>
  <si>
    <t>Abschluss am</t>
  </si>
  <si>
    <t>KD-NR</t>
  </si>
  <si>
    <t>-</t>
  </si>
  <si>
    <t>Threefliesbar</t>
  </si>
  <si>
    <t>Malik Semmler-Lins</t>
  </si>
  <si>
    <t>015168106288</t>
  </si>
  <si>
    <t>Bendixofficial</t>
  </si>
  <si>
    <t>Benjamin Engel</t>
  </si>
  <si>
    <t>01749710557</t>
  </si>
  <si>
    <t>Bazooka City/Safe Untermain</t>
  </si>
  <si>
    <t>Sven Zöller</t>
  </si>
  <si>
    <t>015119608040</t>
  </si>
  <si>
    <t xml:space="preserve">  [Schuck] Webdesign   ·   Funnel &amp; Quoten 2026</t>
  </si>
  <si>
    <t>Auswertungsjahr:</t>
  </si>
  <si>
    <t>Monat</t>
  </si>
  <si>
    <t>Erstkontakte</t>
  </si>
  <si>
    <t>→ Qualifiziert</t>
  </si>
  <si>
    <t>Akquise-Quote</t>
  </si>
  <si>
    <t>→ qualifiziert</t>
  </si>
  <si>
    <t>Quali-Quote</t>
  </si>
  <si>
    <t>→ Abschluss</t>
  </si>
  <si>
    <t>Abschluss-Quote</t>
  </si>
  <si>
    <t>⌀ Durchschnitt</t>
  </si>
  <si>
    <t>Diese Quoten lesen die Datums- und Ergebnis-Spalten der Phasen-Blätter (Akquise / Quali-Calls / Sales-Calls) monatlich aus. Sie füllen sich automatisch, sobald du dort Calls mit Datum + Ergebnis einträgst. Die ⌀-Zeile speist die „Zielplanung".</t>
  </si>
  <si>
    <t xml:space="preserve">  [Schuck] Webdesign   ·   Umsatz 2026</t>
  </si>
  <si>
    <t>Abschlüsse
Neukunden</t>
  </si>
  <si>
    <t>Abschlüsse
Bestandskunden</t>
  </si>
  <si>
    <t>Auftragsvolumen
Neukunden (€)</t>
  </si>
  <si>
    <t>Auftragsvolumen
Bestandskunden (€)</t>
  </si>
  <si>
    <t>Cashflow
Gesamt (€)</t>
  </si>
  <si>
    <t>Gesamt</t>
  </si>
  <si>
    <t>Erklärung der Felder:</t>
  </si>
  <si>
    <t>• Abschlüsse / Auftragsvolumen Neukunden — ziehen sich automatisch aus „Kunden" nach Abschluss-Monat.</t>
  </si>
  <si>
    <t>• Abschlüsse / Auftragsvolumen Bestandskunden — manuell (Upsells, Care-/SEO-Erweiterungen).</t>
  </si>
  <si>
    <t>• Cashflow Gesamt (€) — tatsächlicher Zahlungseingang im Monat (manuell).</t>
  </si>
  <si>
    <t xml:space="preserve">  [Schuck] Webdesign   ·   Zielplanung (Reverse Funnel)</t>
  </si>
  <si>
    <t>ANNAHMEN (anpassbar)</t>
  </si>
  <si>
    <t>LIVE-QUOTEN (aus Funnel &amp; Quoten)</t>
  </si>
  <si>
    <t>Zusätzlicher Zielumsatz / Monat (€)</t>
  </si>
  <si>
    <t>Akquise-Quote (⌀)</t>
  </si>
  <si>
    <t>⌀ Auftragswert pro Kunde (€)</t>
  </si>
  <si>
    <t>Quali-Quote (⌀)</t>
  </si>
  <si>
    <t>Abschlussquote (Sales → Kunde)</t>
  </si>
  <si>
    <t>Abschluss-Quote (⌀)</t>
  </si>
  <si>
    <t>Quali-Quote (Quali → Sales)</t>
  </si>
  <si>
    <t>Akquise-Quote (Erstkontakt → Quali)</t>
  </si>
  <si>
    <t>Trage erst deine Schätzwerte (gelb) ein. Sobald echte Calls in den Phasen-Blättern stehen, vergleiche mit den Live-Quoten und justiere nach.</t>
  </si>
  <si>
    <t>Zeithorizont (Wochen)</t>
  </si>
  <si>
    <t>BENÖTIGTE AKTIVITÄT</t>
  </si>
  <si>
    <t>Benötigte Abschlüsse (Kunden)</t>
  </si>
  <si>
    <t>Benötigte Sales-Calls</t>
  </si>
  <si>
    <t>Benötigte Quali-Calls</t>
  </si>
  <si>
    <t>Benötigte Erstkontakte</t>
  </si>
  <si>
    <t>Erstkontakte pro Woche</t>
  </si>
  <si>
    <t>Erstkontakte pro Werktag</t>
  </si>
  <si>
    <t>Gelb = anpassbar   ·   Blau = berechnet</t>
  </si>
  <si>
    <t>Nicht erreicht</t>
  </si>
  <si>
    <t>Follow-up</t>
  </si>
  <si>
    <t>LinkedIn</t>
  </si>
  <si>
    <t>Disqualifiziert</t>
  </si>
  <si>
    <t>Abgelehnt</t>
  </si>
  <si>
    <t>Handwerk &amp; Lokal</t>
  </si>
  <si>
    <t>Empfehlung</t>
  </si>
  <si>
    <t>Kein Interesse</t>
  </si>
  <si>
    <t>Kaltakquise</t>
  </si>
  <si>
    <t>Agentur (Subcontracting)</t>
  </si>
  <si>
    <t>Messe</t>
  </si>
  <si>
    <t>DATEV</t>
  </si>
  <si>
    <t>Anwaltskammer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</si>
</sst>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#,##0&quot; €&quot;"/>
    <numFmt numFmtId="166" formatCode="dd\.mm\.yyyy"/>
    <numFmt numFmtId="167" formatCode="mmm\ yyyy"/>
  </numFmts>
  <fonts count="142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rgb="FFFFFFFF"/>
      <name val="Arial"/>
    </font>
    <font>
      <sz val="11"/>
      <name val="Calibri"/>
    </font>
    <font>
      <sz val="9"/>
      <color rgb="FFAAAACC"/>
      <name val="Arial"/>
    </font>
    <font>
      <b/>
      <sz val="10"/>
      <color rgb="FF4F7CFF"/>
      <name val="Arial"/>
    </font>
    <font>
      <b/>
      <sz val="9"/>
      <color rgb="FF888888"/>
      <name val="Arial"/>
    </font>
    <font>
      <b/>
      <sz val="18"/>
      <color rgb="FF4F7CFF"/>
      <name val="Arial"/>
    </font>
    <font>
      <b/>
      <sz val="18"/>
      <color rgb="FF6B93FF"/>
      <name val="Arial"/>
    </font>
    <font>
      <b/>
      <sz val="18"/>
      <color rgb="FFFFB020"/>
      <name val="Arial"/>
    </font>
    <font>
      <b/>
      <sz val="18"/>
      <color rgb="FF00D68F"/>
      <name val="Arial"/>
    </font>
    <font>
      <b/>
      <sz val="9"/>
      <color rgb="FFFFFFFF"/>
      <name val="Arial"/>
    </font>
    <font>
      <b/>
      <sz val="18"/>
      <color rgb="FFFFFFFF"/>
      <name val="Calibri"/>
      <scheme val="minor"/>
    </font>
    <font>
      <b/>
      <sz val="10"/>
      <color rgb="FF2C2C40"/>
      <name val="Arial"/>
    </font>
    <font>
      <b/>
      <sz val="10"/>
      <color rgb="FF00D68F"/>
      <name val="Arial"/>
    </font>
    <font>
      <b/>
      <sz val="10"/>
      <color rgb="FFFFB020"/>
      <name val="Arial"/>
    </font>
    <font>
      <b/>
      <sz val="10"/>
      <color rgb="FFA78BFA"/>
      <name val="Arial"/>
    </font>
    <font>
      <i/>
      <sz val="9"/>
      <color rgb="FF888888"/>
      <name val="Arial"/>
    </font>
    <font>
      <b/>
      <sz val="10"/>
      <color rgb="FF6B93FF"/>
      <name val="Arial"/>
    </font>
    <font>
      <b/>
      <sz val="10"/>
      <color rgb="FF888888"/>
      <name val="Arial"/>
    </font>
    <font>
      <sz val="11"/>
      <color theme="1"/>
      <name val="Calibri"/>
      <scheme val="minor"/>
    </font>
    <font>
      <b/>
      <sz val="9"/>
      <color theme="1"/>
      <name val="Arial"/>
    </font>
    <font>
      <b/>
      <sz val="9"/>
      <color rgb="FFAAAACC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34343"/>
      <name val="Arial"/>
    </font>
    <font>
      <u/>
      <sz val="10"/>
      <color rgb="FF0000FF"/>
      <name val="Arial"/>
    </font>
    <font>
      <u/>
      <sz val="11"/>
      <color rgb="FF0000FF"/>
      <name val="Roboto"/>
    </font>
    <font>
      <u/>
      <sz val="10"/>
      <color rgb="FF0000FF"/>
      <name val="Roboto"/>
    </font>
    <font>
      <sz val="12"/>
      <color rgb="FF333333"/>
      <name val="&quot;Open Sans&quot;"/>
    </font>
    <font>
      <sz val="10"/>
      <color rgb="FF333333"/>
      <name val="&quot;Open Sans&quot;"/>
    </font>
    <font>
      <u/>
      <sz val="11"/>
      <color rgb="FF0000FF"/>
      <name val="Roboto"/>
    </font>
    <font>
      <sz val="9"/>
      <color rgb="FF3B3B3B"/>
      <name val="&quot;Open Sans&quot;"/>
    </font>
    <font>
      <u/>
      <sz val="10"/>
      <color rgb="FF0000FF"/>
      <name val="Arial"/>
    </font>
    <font>
      <sz val="10"/>
      <color rgb="FF777777"/>
      <name val="Roboto"/>
    </font>
    <font>
      <sz val="10"/>
      <color rgb="FF474747"/>
      <name val="&quot;Open Sans&quot;"/>
    </font>
    <font>
      <sz val="10"/>
      <color rgb="FF666666"/>
      <name val="Verdana"/>
    </font>
    <font>
      <sz val="11"/>
      <color rgb="FF3D3D3D"/>
      <name val="&quot;Open Sans&quot;"/>
    </font>
    <font>
      <sz val="12"/>
      <color rgb="FF191919"/>
      <name val="&quot;Albert Sans&quot;"/>
    </font>
    <font>
      <sz val="11"/>
      <color rgb="FF605E5E"/>
      <name val="Helvetica-w01-light"/>
    </font>
    <font>
      <sz val="11"/>
      <color rgb="FF666666"/>
      <name val="&quot;Lucida Grande&quot;"/>
    </font>
    <font>
      <sz val="10"/>
      <color rgb="FF284B64"/>
      <name val="Mulish"/>
    </font>
    <font>
      <sz val="9"/>
      <color rgb="FF000000"/>
      <name val="Arial"/>
    </font>
    <font>
      <sz val="12"/>
      <color rgb="FF2C2B42"/>
      <name val="&quot;PT Serif&quot;"/>
    </font>
    <font>
      <sz val="11"/>
      <color rgb="FF454443"/>
      <name val="Georgia"/>
    </font>
    <font>
      <u/>
      <sz val="11"/>
      <color rgb="FF474747"/>
      <name val="Helvetica"/>
    </font>
    <font>
      <u/>
      <sz val="10"/>
      <color rgb="FF434343"/>
      <name val="Arial"/>
    </font>
    <font>
      <sz val="10"/>
      <color rgb="FF1F1D1D"/>
      <name val="Switzer"/>
    </font>
    <font>
      <sz val="8"/>
      <color rgb="FF000000"/>
      <name val="Arial"/>
    </font>
    <font>
      <sz val="11"/>
      <color rgb="FF777777"/>
      <name val="&quot;Open Sans&quot;"/>
    </font>
    <font>
      <u/>
      <sz val="11"/>
      <color rgb="FF005BA1"/>
      <name val="Roboto"/>
    </font>
    <font>
      <sz val="11"/>
      <color rgb="FF383838"/>
      <name val="Nunito"/>
    </font>
    <font>
      <u/>
      <sz val="11"/>
      <color rgb="FF434343"/>
      <name val="Arial"/>
    </font>
    <font>
      <sz val="10"/>
      <color rgb="FF000000"/>
      <name val="FAOpensans"/>
    </font>
    <font>
      <sz val="10"/>
      <color rgb="FF757575"/>
      <name val="Ubuntu"/>
    </font>
    <font>
      <sz val="10"/>
      <color rgb="FF515356"/>
      <name val="Prelo"/>
    </font>
    <font>
      <sz val="10"/>
      <color rgb="FF000000"/>
      <name val="Lato-light"/>
    </font>
    <font>
      <u/>
      <sz val="10"/>
      <color rgb="FF0000FF"/>
      <name val="Arial"/>
    </font>
    <font>
      <sz val="11"/>
      <color rgb="FF474747"/>
      <name val="VerbRegular"/>
    </font>
    <font>
      <u/>
      <sz val="11"/>
      <color rgb="FF434343"/>
      <name val="Roboto"/>
    </font>
    <font>
      <u/>
      <sz val="10"/>
      <color rgb="FF0000FF"/>
      <name val="Arial"/>
    </font>
    <font>
      <sz val="10"/>
      <color rgb="FF000000"/>
      <name val="Inter"/>
    </font>
    <font>
      <sz val="11"/>
      <color rgb="FF808080"/>
      <name val="Arial"/>
    </font>
    <font>
      <u/>
      <sz val="12"/>
      <color rgb="FF0000FF"/>
      <name val="Roboto"/>
    </font>
    <font>
      <sz val="10"/>
      <color rgb="FF200000"/>
      <name val="OpenSans-Regular"/>
    </font>
    <font>
      <sz val="12"/>
      <color rgb="FF000000"/>
      <name val="Verdana"/>
    </font>
    <font>
      <sz val="10"/>
      <color rgb="FF1A1A1A"/>
      <name val="&quot;Open Sans&quot;"/>
    </font>
    <font>
      <sz val="11"/>
      <color rgb="FF141313"/>
      <name val="&quot;Open Sans&quot;"/>
    </font>
    <font>
      <sz val="11"/>
      <color rgb="FF000000"/>
      <name val="&quot;Roboto Mono&quot;"/>
    </font>
    <font>
      <sz val="11"/>
      <color rgb="FF212429"/>
      <name val="Questrial"/>
    </font>
    <font>
      <sz val="10"/>
      <color rgb="FF000000"/>
      <name val="Open-sans1"/>
    </font>
    <font>
      <sz val="10"/>
      <color rgb="FF0A0A0A"/>
      <name val="&quot;Open Sans&quot;"/>
    </font>
    <font>
      <sz val="12"/>
      <color rgb="FF404040"/>
      <name val="&quot;Source Sans Pro&quot;"/>
    </font>
    <font>
      <sz val="10"/>
      <color rgb="FF787D85"/>
      <name val="Questrial"/>
    </font>
    <font>
      <sz val="10"/>
      <color rgb="FF333333"/>
      <name val="Verdana"/>
    </font>
    <font>
      <u/>
      <sz val="10"/>
      <color rgb="FF000000"/>
      <name val="Tahoma"/>
    </font>
    <font>
      <u/>
      <sz val="10"/>
      <color rgb="FF0000FF"/>
      <name val="Tahoma"/>
    </font>
    <font>
      <sz val="10"/>
      <color rgb="FF000000"/>
      <name val="Roboto"/>
    </font>
    <font>
      <sz val="10"/>
      <color rgb="FF222222"/>
      <name val="Sans-serif"/>
    </font>
    <font>
      <sz val="10"/>
      <color rgb="FF000000"/>
      <name val="&quot;Times New Roman&quot;"/>
    </font>
    <font>
      <sz val="10"/>
      <color rgb="FF6E6E6E"/>
      <name val="Roboto"/>
    </font>
    <font>
      <sz val="10"/>
      <color rgb="FF272E2E"/>
      <name val="&quot;Open Sans&quot;"/>
    </font>
    <font>
      <sz val="10"/>
      <color rgb="FF343434"/>
      <name val="&quot;Hind Guntur&quot;"/>
    </font>
    <font>
      <sz val="11"/>
      <color rgb="FF333333"/>
      <name val="Lato"/>
    </font>
    <font>
      <sz val="10"/>
      <color rgb="FF000000"/>
      <name val="&quot;Open Sans&quot;"/>
    </font>
    <font>
      <sz val="11"/>
      <color theme="1"/>
      <name val="&quot;Times New Roman&quot;"/>
    </font>
    <font>
      <sz val="10"/>
      <color rgb="FF000000"/>
      <name val="&quot;Trebuchet MS&quot;"/>
    </font>
    <font>
      <sz val="10"/>
      <color rgb="FF232323"/>
      <name val="Times"/>
    </font>
    <font>
      <b/>
      <sz val="10"/>
      <color rgb="FF7A7A7A"/>
      <name val="Roboto"/>
    </font>
    <font>
      <sz val="12"/>
      <color rgb="FF000000"/>
      <name val="&quot;Times New Roman&quot;"/>
    </font>
    <font>
      <sz val="11"/>
      <color rgb="FF666666"/>
      <name val="Arial"/>
    </font>
    <font>
      <sz val="12"/>
      <color rgb="FF7A7A7A"/>
      <name val="Roboto"/>
    </font>
    <font>
      <u/>
      <sz val="11"/>
      <color rgb="FF0000FF"/>
      <name val="Roboto"/>
    </font>
    <font>
      <sz val="10"/>
      <color rgb="FF444444"/>
      <name val="Roboto"/>
    </font>
    <font>
      <sz val="10"/>
      <color rgb="FF5A5F4F"/>
      <name val="Roboto"/>
    </font>
    <font>
      <sz val="10"/>
      <color rgb="FF5D5751"/>
      <name val="Roboto"/>
    </font>
    <font>
      <sz val="10"/>
      <color rgb="FF848D96"/>
      <name val="Lora"/>
    </font>
    <font>
      <sz val="11"/>
      <color rgb="FF333333"/>
      <name val="Arial"/>
    </font>
    <font>
      <sz val="11"/>
      <color rgb="FF666666"/>
      <name val="&quot;open sans&quot;"/>
    </font>
    <font>
      <sz val="10"/>
      <color rgb="FF1A1A1A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111111"/>
      <name val="&quot;PT Sans&quot;"/>
    </font>
    <font>
      <sz val="11"/>
      <color rgb="FF000000"/>
      <name val="&quot;Open Sans&quot;"/>
    </font>
    <font>
      <sz val="11"/>
      <color rgb="FF000000"/>
      <name val="Arial"/>
    </font>
    <font>
      <sz val="12"/>
      <color rgb="FF000000"/>
      <name val="Arial"/>
    </font>
    <font>
      <sz val="11"/>
      <color rgb="FF383838"/>
      <name val="Figtree"/>
    </font>
    <font>
      <sz val="11"/>
      <color rgb="FF000000"/>
      <name val="Roboto"/>
    </font>
    <font>
      <u/>
      <sz val="10"/>
      <color rgb="FF0000FF"/>
      <name val="Roboto"/>
    </font>
    <font>
      <u/>
      <sz val="12"/>
      <color rgb="FF000000"/>
      <name val="&quot;Times New Roman&quot;"/>
    </font>
    <font>
      <sz val="10"/>
      <color rgb="FF27272A"/>
      <name val="Roboto"/>
    </font>
    <font>
      <sz val="11"/>
      <color rgb="FF000000"/>
      <name val="Calibri"/>
      <scheme val="minor"/>
    </font>
    <font>
      <sz val="11"/>
      <color rgb="FF000000"/>
      <name val="Georgia"/>
    </font>
    <font>
      <u/>
      <sz val="11"/>
      <color rgb="FF000000"/>
      <name val="Georgia"/>
    </font>
    <font>
      <sz val="9"/>
      <color rgb="FF141414"/>
      <name val="Arial"/>
    </font>
    <font>
      <sz val="8"/>
      <color rgb="FF595959"/>
      <name val="Verdana"/>
    </font>
    <font>
      <b/>
      <sz val="13"/>
      <color rgb="FFFFFFFF"/>
      <name val="Arial"/>
    </font>
    <font>
      <sz val="8"/>
      <color rgb="FFAAAACC"/>
      <name val="Arial"/>
    </font>
    <font>
      <b/>
      <sz val="14"/>
      <color rgb="FFFFFFFF"/>
      <name val="Arial"/>
    </font>
    <font>
      <b/>
      <sz val="12"/>
      <color rgb="FF888888"/>
      <name val="Arial"/>
    </font>
    <font>
      <b/>
      <sz val="12"/>
      <color rgb="FF0000FF"/>
      <name val="Arial"/>
    </font>
    <font>
      <b/>
      <sz val="11"/>
      <color rgb="FF2C2C40"/>
      <name val="Arial"/>
    </font>
    <font>
      <sz val="10"/>
      <color rgb="FF2C2C40"/>
      <name val="Arial"/>
    </font>
    <font>
      <b/>
      <sz val="10"/>
      <color rgb="FFFFFFFF"/>
      <name val="Arial"/>
    </font>
    <font>
      <b/>
      <sz val="9"/>
      <color rgb="FF2C2C40"/>
      <name val="Arial"/>
    </font>
    <font>
      <sz val="9"/>
      <color rgb="FF888888"/>
      <name val="Arial"/>
    </font>
    <font>
      <b/>
      <sz val="11"/>
      <color rgb="FF0000FF"/>
      <name val="Arial"/>
    </font>
    <font>
      <sz val="9"/>
      <color rgb="FF2C2C40"/>
      <name val="Arial"/>
    </font>
    <font>
      <b/>
      <sz val="11"/>
      <color rgb="FF4F7CFF"/>
      <name val="Arial"/>
    </font>
    <font>
      <b/>
      <sz val="11"/>
      <color rgb="FF00D68F"/>
      <name val="Arial"/>
    </font>
    <font>
      <i/>
      <sz val="8"/>
      <color rgb="FF888888"/>
      <name val="Arial"/>
    </font>
    <font>
      <u/>
      <sz val="11"/>
      <color rgb="FF1155CC"/>
      <name val="Calibri"/>
    </font>
    <font>
      <u/>
      <sz val="11"/>
      <color rgb="FF474747"/>
      <name val="Calibri"/>
      <scheme val="minor"/>
    </font>
    <font>
      <u/>
      <sz val="11"/>
      <color rgb="FF1155CC"/>
      <name val="Arial"/>
    </font>
    <font>
      <sz val="10"/>
      <name val="Arial"/>
    </font>
    <font>
      <u/>
      <sz val="10"/>
      <color rgb="FF1155CC"/>
      <name val="Arial"/>
    </font>
    <font>
      <b/>
      <sz val="10"/>
      <color theme="1"/>
      <name val="Arial"/>
    </font>
    <font>
      <u/>
      <sz val="10"/>
      <color rgb="FF1155CC"/>
      <name val="Arial, Helvetica, sans-serif"/>
    </font>
    <font>
      <sz val="10"/>
      <name val="Arial, Helvetica, sans-serif"/>
    </font>
    <font>
      <b/>
      <u/>
      <sz val="10"/>
      <color rgb="FF1155CC"/>
      <name val="Calibri"/>
    </font>
    <font>
      <u/>
      <sz val="12"/>
      <color rgb="FF1155CC"/>
      <name val="&quot;Times New Roman&quot;"/>
    </font>
  </fonts>
  <fills count="28">
    <fill>
      <patternFill patternType="none"/>
    </fill>
    <fill>
      <patternFill patternType="gray125"/>
    </fill>
    <fill>
      <patternFill patternType="solid">
        <fgColor rgb="FF0F0F18"/>
        <bgColor rgb="FF0F0F18"/>
      </patternFill>
    </fill>
    <fill>
      <patternFill patternType="solid">
        <fgColor rgb="FFE8EEFF"/>
        <bgColor rgb="FFE8EEFF"/>
      </patternFill>
    </fill>
    <fill>
      <patternFill patternType="solid">
        <fgColor rgb="FFFFF8E0"/>
        <bgColor rgb="FFFFF8E0"/>
      </patternFill>
    </fill>
    <fill>
      <patternFill patternType="solid">
        <fgColor rgb="FFE0FFF5"/>
        <bgColor rgb="FFE0FFF5"/>
      </patternFill>
    </fill>
    <fill>
      <patternFill patternType="solid">
        <fgColor rgb="FF1E2035"/>
        <bgColor rgb="FF1E2035"/>
      </patternFill>
    </fill>
    <fill>
      <patternFill patternType="solid">
        <fgColor rgb="FFF9FAFD"/>
        <bgColor rgb="FFF9FAFD"/>
      </patternFill>
    </fill>
    <fill>
      <patternFill patternType="solid">
        <fgColor rgb="FFFFFFFF"/>
        <bgColor rgb="FFFFFFFF"/>
      </patternFill>
    </fill>
    <fill>
      <patternFill patternType="solid">
        <fgColor rgb="FFEEF1F2"/>
        <bgColor rgb="FFEEF1F2"/>
      </patternFill>
    </fill>
    <fill>
      <patternFill patternType="solid">
        <fgColor rgb="FFF2F2F2"/>
        <bgColor rgb="FFF2F2F2"/>
      </patternFill>
    </fill>
    <fill>
      <patternFill patternType="solid">
        <fgColor rgb="FFEDF0EF"/>
        <bgColor rgb="FFEDF0EF"/>
      </patternFill>
    </fill>
    <fill>
      <patternFill patternType="solid">
        <fgColor rgb="FFF9F9F9"/>
        <bgColor rgb="FFF9F9F9"/>
      </patternFill>
    </fill>
    <fill>
      <patternFill patternType="solid">
        <fgColor rgb="FFFEFDFB"/>
        <bgColor rgb="FFFEFDFB"/>
      </patternFill>
    </fill>
    <fill>
      <patternFill patternType="solid">
        <fgColor rgb="FFDFE9F6"/>
        <bgColor rgb="FFDFE9F6"/>
      </patternFill>
    </fill>
    <fill>
      <patternFill patternType="solid">
        <fgColor rgb="FFF6F8F9"/>
        <bgColor rgb="FFF6F8F9"/>
      </patternFill>
    </fill>
    <fill>
      <patternFill patternType="solid">
        <fgColor rgb="FFFCFAF7"/>
        <bgColor rgb="FFFCFAF7"/>
      </patternFill>
    </fill>
    <fill>
      <patternFill patternType="solid">
        <fgColor rgb="FFF8F8F8"/>
        <bgColor rgb="FFF8F8F8"/>
      </patternFill>
    </fill>
    <fill>
      <patternFill patternType="solid">
        <fgColor rgb="FFEFF2F2"/>
        <bgColor rgb="FFEFF2F2"/>
      </patternFill>
    </fill>
    <fill>
      <patternFill patternType="solid">
        <fgColor rgb="FFFF0000"/>
        <bgColor rgb="FFFF0000"/>
      </patternFill>
    </fill>
    <fill>
      <patternFill patternType="solid">
        <fgColor rgb="FFF6F6F8"/>
        <bgColor rgb="FFF6F6F8"/>
      </patternFill>
    </fill>
    <fill>
      <patternFill patternType="solid">
        <fgColor rgb="FFE7E8EA"/>
        <bgColor rgb="FFE7E8EA"/>
      </patternFill>
    </fill>
    <fill>
      <patternFill patternType="solid">
        <fgColor rgb="FFFFFCEF"/>
        <bgColor rgb="FFFFFCEF"/>
      </patternFill>
    </fill>
    <fill>
      <patternFill patternType="solid">
        <fgColor rgb="FFF4F4F4"/>
        <bgColor rgb="FFF4F4F4"/>
      </patternFill>
    </fill>
    <fill>
      <patternFill patternType="solid">
        <fgColor rgb="FFD9D9D9"/>
        <bgColor rgb="FFD9D9D9"/>
      </patternFill>
    </fill>
    <fill>
      <patternFill patternType="solid">
        <fgColor rgb="FF252540"/>
        <bgColor rgb="FF252540"/>
      </patternFill>
    </fill>
    <fill>
      <patternFill patternType="solid">
        <fgColor rgb="FFF4F6FB"/>
        <bgColor rgb="FFF4F6FB"/>
      </patternFill>
    </fill>
    <fill>
      <patternFill patternType="solid">
        <fgColor rgb="FFFFFDE7"/>
        <bgColor rgb="FFFFFDE7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4E8F2"/>
      </left>
      <right style="thin">
        <color rgb="FFE4E8F2"/>
      </right>
      <top style="thin">
        <color rgb="FFE4E8F2"/>
      </top>
      <bottom style="thin">
        <color rgb="FFE4E8F2"/>
      </bottom>
      <diagonal/>
    </border>
    <border>
      <left style="thin">
        <color rgb="FF1E2035"/>
      </left>
      <right style="thin">
        <color rgb="FF1E2035"/>
      </right>
      <top style="thin">
        <color rgb="FF1E2035"/>
      </top>
      <bottom style="thin">
        <color rgb="FF1E2035"/>
      </bottom>
      <diagonal/>
    </border>
    <border>
      <left style="thin">
        <color rgb="FF0F0F18"/>
      </left>
      <right style="thin">
        <color rgb="FF0F0F18"/>
      </right>
      <top style="thin">
        <color rgb="FF0F0F18"/>
      </top>
      <bottom/>
      <diagonal/>
    </border>
    <border>
      <left style="thin">
        <color rgb="FF0F0F18"/>
      </left>
      <right style="thin">
        <color rgb="FF0F0F18"/>
      </right>
      <top style="thin">
        <color rgb="FF0F0F18"/>
      </top>
      <bottom style="thin">
        <color rgb="FF0F0F18"/>
      </bottom>
      <diagonal/>
    </border>
    <border>
      <left style="thin">
        <color rgb="FF0F0F18"/>
      </left>
      <right style="thin">
        <color rgb="FF0F0F18"/>
      </right>
      <top/>
      <bottom/>
      <diagonal/>
    </border>
    <border>
      <left/>
      <right style="thin">
        <color rgb="FFE4E8F2"/>
      </right>
      <top/>
      <bottom style="thin">
        <color rgb="FFE4E8F2"/>
      </bottom>
      <diagonal/>
    </border>
    <border>
      <left style="thin">
        <color rgb="FFE4E8F2"/>
      </left>
      <right style="thin">
        <color rgb="FFE4E8F2"/>
      </right>
      <top/>
      <bottom style="thin">
        <color rgb="FFE4E8F2"/>
      </bottom>
      <diagonal/>
    </border>
    <border>
      <left style="thin">
        <color rgb="FFE4E8F2"/>
      </left>
      <right style="thin">
        <color rgb="FFE4E8F2"/>
      </right>
      <top style="thin">
        <color rgb="FFE4E8F2"/>
      </top>
      <bottom/>
      <diagonal/>
    </border>
    <border>
      <left style="thin">
        <color rgb="FF0F0F18"/>
      </left>
      <right style="thin">
        <color rgb="FF0F0F18"/>
      </right>
      <top/>
      <bottom style="thin">
        <color rgb="FF0F0F18"/>
      </bottom>
      <diagonal/>
    </border>
    <border>
      <left style="thin">
        <color rgb="FFE8EEFF"/>
      </left>
      <right style="thin">
        <color rgb="FFE8EEFF"/>
      </right>
      <top style="thin">
        <color rgb="FFE8EEFF"/>
      </top>
      <bottom style="thin">
        <color rgb="FFE8EEFF"/>
      </bottom>
      <diagonal/>
    </border>
    <border>
      <left/>
      <right/>
      <top/>
      <bottom style="thin">
        <color rgb="FFE8EEFF"/>
      </bottom>
      <diagonal/>
    </border>
    <border>
      <left/>
      <right style="thin">
        <color rgb="FFE8EEFF"/>
      </right>
      <top/>
      <bottom style="thin">
        <color rgb="FFE8EEFF"/>
      </bottom>
      <diagonal/>
    </border>
    <border>
      <left style="thin">
        <color rgb="FFE8EEFF"/>
      </left>
      <right style="thin">
        <color rgb="FFE8EEFF"/>
      </right>
      <top/>
      <bottom style="thin">
        <color rgb="FFE8EEFF"/>
      </bottom>
      <diagonal/>
    </border>
    <border>
      <left style="thin">
        <color rgb="FFE8EEFF"/>
      </left>
      <right/>
      <top/>
      <bottom style="thin">
        <color rgb="FFE8EEFF"/>
      </bottom>
      <diagonal/>
    </border>
    <border>
      <left/>
      <right/>
      <top style="thin">
        <color rgb="FFE8EEFF"/>
      </top>
      <bottom style="thin">
        <color rgb="FFE8EEFF"/>
      </bottom>
      <diagonal/>
    </border>
    <border>
      <left/>
      <right style="thin">
        <color rgb="FFE8EEFF"/>
      </right>
      <top style="thin">
        <color rgb="FFE8EEFF"/>
      </top>
      <bottom style="thin">
        <color rgb="FFE8EEFF"/>
      </bottom>
      <diagonal/>
    </border>
    <border>
      <left style="thin">
        <color rgb="FFE8EEFF"/>
      </left>
      <right/>
      <top style="thin">
        <color rgb="FFE8EEFF"/>
      </top>
      <bottom style="thin">
        <color rgb="FFE8EEFF"/>
      </bottom>
      <diagonal/>
    </border>
    <border>
      <left/>
      <right/>
      <top style="thin">
        <color rgb="FFADB0B6"/>
      </top>
      <bottom style="thin">
        <color rgb="FFADB0B6"/>
      </bottom>
      <diagonal/>
    </border>
    <border>
      <left/>
      <right/>
      <top style="thin">
        <color rgb="FFE8EEFF"/>
      </top>
      <bottom/>
      <diagonal/>
    </border>
    <border>
      <left/>
      <right style="thin">
        <color rgb="FFE8EEFF"/>
      </right>
      <top style="thin">
        <color rgb="FFE8EEFF"/>
      </top>
      <bottom/>
      <diagonal/>
    </border>
    <border>
      <left style="thin">
        <color rgb="FFE8EEFF"/>
      </left>
      <right style="thin">
        <color rgb="FFE8EEFF"/>
      </right>
      <top style="thin">
        <color rgb="FFE8EEFF"/>
      </top>
      <bottom/>
      <diagonal/>
    </border>
    <border>
      <left style="thin">
        <color rgb="FFE8EEFF"/>
      </left>
      <right/>
      <top style="thin">
        <color rgb="FFE8EE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thin">
        <color rgb="FFD0D4E8"/>
      </right>
      <top style="medium">
        <color rgb="FF000000"/>
      </top>
      <bottom style="thin">
        <color rgb="FFD0D4E8"/>
      </bottom>
      <diagonal/>
    </border>
    <border>
      <left style="thin">
        <color rgb="FFD0D4E8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D0D4E8"/>
      </top>
      <bottom style="thin">
        <color rgb="FFD0D4E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D0D4E8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/>
      <diagonal/>
    </border>
    <border>
      <left style="thin">
        <color rgb="FFE4E8F2"/>
      </left>
      <right/>
      <top style="thin">
        <color rgb="FFE4E8F2"/>
      </top>
      <bottom style="thin">
        <color rgb="FFE4E8F2"/>
      </bottom>
      <diagonal/>
    </border>
    <border>
      <left/>
      <right style="thin">
        <color rgb="FFE4E8F2"/>
      </right>
      <top style="thin">
        <color rgb="FFE4E8F2"/>
      </top>
      <bottom style="thin">
        <color rgb="FFE4E8F2"/>
      </bottom>
      <diagonal/>
    </border>
    <border>
      <left style="thin">
        <color rgb="FFE4D88A"/>
      </left>
      <right style="thin">
        <color rgb="FFE4D88A"/>
      </right>
      <top style="thin">
        <color rgb="FFE4D88A"/>
      </top>
      <bottom style="thin">
        <color rgb="FFE4D88A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2" borderId="1" xfId="0" applyFont="1" applyFill="1" applyBorder="1"/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horizontal="center" vertical="center"/>
    </xf>
    <xf numFmtId="165" fontId="9" fillId="4" borderId="5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164" fontId="5" fillId="7" borderId="11" xfId="0" applyNumberFormat="1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164" fontId="14" fillId="8" borderId="5" xfId="0" applyNumberFormat="1" applyFont="1" applyFill="1" applyBorder="1" applyAlignment="1">
      <alignment horizontal="center" vertical="center"/>
    </xf>
    <xf numFmtId="164" fontId="15" fillId="7" borderId="5" xfId="0" applyNumberFormat="1" applyFont="1" applyFill="1" applyBorder="1" applyAlignment="1">
      <alignment horizontal="center" vertical="center"/>
    </xf>
    <xf numFmtId="164" fontId="16" fillId="8" borderId="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wrapText="1"/>
    </xf>
    <xf numFmtId="164" fontId="18" fillId="7" borderId="5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left" vertical="center"/>
    </xf>
    <xf numFmtId="0" fontId="13" fillId="7" borderId="12" xfId="0" applyFont="1" applyFill="1" applyBorder="1" applyAlignment="1">
      <alignment horizontal="center" vertical="center"/>
    </xf>
    <xf numFmtId="164" fontId="19" fillId="7" borderId="12" xfId="0" applyNumberFormat="1" applyFont="1" applyFill="1" applyBorder="1" applyAlignment="1">
      <alignment horizontal="center" vertical="center"/>
    </xf>
    <xf numFmtId="0" fontId="20" fillId="0" borderId="14" xfId="0" applyFont="1" applyBorder="1"/>
    <xf numFmtId="0" fontId="20" fillId="7" borderId="14" xfId="0" applyFont="1" applyFill="1" applyBorder="1"/>
    <xf numFmtId="0" fontId="21" fillId="0" borderId="0" xfId="0" applyFont="1" applyAlignment="1">
      <alignment horizontal="center" vertical="center" wrapText="1"/>
    </xf>
    <xf numFmtId="0" fontId="22" fillId="0" borderId="15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166" fontId="23" fillId="0" borderId="17" xfId="0" applyNumberFormat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166" fontId="23" fillId="0" borderId="14" xfId="0" applyNumberFormat="1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49" fontId="23" fillId="0" borderId="14" xfId="0" applyNumberFormat="1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49" fontId="27" fillId="0" borderId="14" xfId="0" applyNumberFormat="1" applyFont="1" applyBorder="1" applyAlignment="1">
      <alignment vertical="center"/>
    </xf>
    <xf numFmtId="49" fontId="28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49" fontId="29" fillId="0" borderId="0" xfId="0" applyNumberFormat="1" applyFont="1" applyAlignment="1">
      <alignment vertical="center"/>
    </xf>
    <xf numFmtId="49" fontId="30" fillId="8" borderId="0" xfId="0" applyNumberFormat="1" applyFont="1" applyFill="1" applyAlignment="1">
      <alignment vertical="center"/>
    </xf>
    <xf numFmtId="49" fontId="31" fillId="8" borderId="0" xfId="0" applyNumberFormat="1" applyFont="1" applyFill="1" applyAlignment="1">
      <alignment vertical="center"/>
    </xf>
    <xf numFmtId="49" fontId="23" fillId="0" borderId="0" xfId="0" applyNumberFormat="1" applyFont="1" applyAlignment="1">
      <alignment vertical="center"/>
    </xf>
    <xf numFmtId="49" fontId="32" fillId="0" borderId="0" xfId="0" applyNumberFormat="1" applyFont="1" applyAlignment="1">
      <alignment vertical="center"/>
    </xf>
    <xf numFmtId="49" fontId="33" fillId="9" borderId="0" xfId="0" applyNumberFormat="1" applyFont="1" applyFill="1" applyAlignment="1">
      <alignment vertical="center"/>
    </xf>
    <xf numFmtId="49" fontId="34" fillId="0" borderId="14" xfId="0" applyNumberFormat="1" applyFont="1" applyBorder="1" applyAlignment="1">
      <alignment vertical="center"/>
    </xf>
    <xf numFmtId="49" fontId="35" fillId="8" borderId="0" xfId="0" applyNumberFormat="1" applyFont="1" applyFill="1" applyAlignment="1">
      <alignment vertical="center"/>
    </xf>
    <xf numFmtId="49" fontId="36" fillId="8" borderId="0" xfId="0" applyNumberFormat="1" applyFont="1" applyFill="1" applyAlignment="1">
      <alignment vertical="center"/>
    </xf>
    <xf numFmtId="49" fontId="37" fillId="8" borderId="0" xfId="0" applyNumberFormat="1" applyFont="1" applyFill="1" applyAlignment="1">
      <alignment horizontal="left" vertical="center"/>
    </xf>
    <xf numFmtId="49" fontId="38" fillId="8" borderId="0" xfId="0" applyNumberFormat="1" applyFont="1" applyFill="1" applyAlignment="1">
      <alignment vertical="center"/>
    </xf>
    <xf numFmtId="49" fontId="39" fillId="10" borderId="0" xfId="0" applyNumberFormat="1" applyFont="1" applyFill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49" fontId="41" fillId="8" borderId="0" xfId="0" applyNumberFormat="1" applyFont="1" applyFill="1" applyAlignment="1">
      <alignment vertical="center"/>
    </xf>
    <xf numFmtId="49" fontId="42" fillId="8" borderId="0" xfId="0" applyNumberFormat="1" applyFont="1" applyFill="1" applyAlignment="1">
      <alignment horizontal="left" vertical="center"/>
    </xf>
    <xf numFmtId="49" fontId="43" fillId="11" borderId="0" xfId="0" applyNumberFormat="1" applyFont="1" applyFill="1" applyAlignment="1">
      <alignment vertical="center"/>
    </xf>
    <xf numFmtId="49" fontId="44" fillId="0" borderId="0" xfId="0" applyNumberFormat="1" applyFont="1" applyAlignment="1">
      <alignment vertical="center"/>
    </xf>
    <xf numFmtId="49" fontId="45" fillId="8" borderId="0" xfId="0" applyNumberFormat="1" applyFont="1" applyFill="1" applyAlignment="1">
      <alignment vertical="center"/>
    </xf>
    <xf numFmtId="49" fontId="46" fillId="8" borderId="0" xfId="0" applyNumberFormat="1" applyFont="1" applyFill="1" applyAlignment="1">
      <alignment vertical="center"/>
    </xf>
    <xf numFmtId="49" fontId="47" fillId="0" borderId="14" xfId="0" applyNumberFormat="1" applyFont="1" applyBorder="1" applyAlignment="1">
      <alignment vertical="center"/>
    </xf>
    <xf numFmtId="49" fontId="48" fillId="8" borderId="0" xfId="0" applyNumberFormat="1" applyFont="1" applyFill="1" applyAlignment="1">
      <alignment vertical="center"/>
    </xf>
    <xf numFmtId="49" fontId="49" fillId="0" borderId="0" xfId="0" applyNumberFormat="1" applyFont="1" applyAlignment="1">
      <alignment vertical="center"/>
    </xf>
    <xf numFmtId="49" fontId="50" fillId="12" borderId="0" xfId="0" applyNumberFormat="1" applyFont="1" applyFill="1" applyAlignment="1">
      <alignment vertical="center"/>
    </xf>
    <xf numFmtId="49" fontId="51" fillId="13" borderId="0" xfId="0" applyNumberFormat="1" applyFont="1" applyFill="1" applyAlignment="1">
      <alignment vertical="center"/>
    </xf>
    <xf numFmtId="49" fontId="52" fillId="8" borderId="0" xfId="0" applyNumberFormat="1" applyFont="1" applyFill="1" applyAlignment="1">
      <alignment vertical="center"/>
    </xf>
    <xf numFmtId="49" fontId="53" fillId="8" borderId="0" xfId="0" applyNumberFormat="1" applyFont="1" applyFill="1" applyAlignment="1">
      <alignment vertical="center"/>
    </xf>
    <xf numFmtId="49" fontId="54" fillId="8" borderId="0" xfId="0" applyNumberFormat="1" applyFont="1" applyFill="1" applyAlignment="1">
      <alignment vertical="center"/>
    </xf>
    <xf numFmtId="49" fontId="31" fillId="8" borderId="0" xfId="0" applyNumberFormat="1" applyFont="1" applyFill="1" applyAlignment="1">
      <alignment horizontal="left" vertical="center" wrapText="1"/>
    </xf>
    <xf numFmtId="49" fontId="55" fillId="8" borderId="0" xfId="0" applyNumberFormat="1" applyFont="1" applyFill="1" applyAlignment="1">
      <alignment vertical="center"/>
    </xf>
    <xf numFmtId="49" fontId="56" fillId="8" borderId="0" xfId="0" applyNumberFormat="1" applyFont="1" applyFill="1" applyAlignment="1">
      <alignment vertical="center"/>
    </xf>
    <xf numFmtId="49" fontId="57" fillId="0" borderId="0" xfId="0" applyNumberFormat="1" applyFont="1" applyAlignment="1">
      <alignment vertical="center"/>
    </xf>
    <xf numFmtId="49" fontId="58" fillId="8" borderId="0" xfId="0" applyNumberFormat="1" applyFont="1" applyFill="1" applyAlignment="1">
      <alignment horizontal="left" vertical="center"/>
    </xf>
    <xf numFmtId="49" fontId="59" fillId="8" borderId="0" xfId="0" applyNumberFormat="1" applyFont="1" applyFill="1" applyAlignment="1">
      <alignment vertical="center"/>
    </xf>
    <xf numFmtId="49" fontId="60" fillId="0" borderId="0" xfId="0" applyNumberFormat="1" applyFont="1" applyAlignment="1">
      <alignment vertical="center"/>
    </xf>
    <xf numFmtId="49" fontId="61" fillId="8" borderId="0" xfId="0" applyNumberFormat="1" applyFont="1" applyFill="1" applyAlignment="1">
      <alignment vertical="center"/>
    </xf>
    <xf numFmtId="49" fontId="62" fillId="0" borderId="0" xfId="0" applyNumberFormat="1" applyFont="1" applyAlignment="1">
      <alignment vertical="center"/>
    </xf>
    <xf numFmtId="49" fontId="63" fillId="8" borderId="0" xfId="0" applyNumberFormat="1" applyFont="1" applyFill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5" fillId="8" borderId="0" xfId="0" applyNumberFormat="1" applyFont="1" applyFill="1" applyAlignment="1">
      <alignment horizontal="left" vertical="center"/>
    </xf>
    <xf numFmtId="49" fontId="66" fillId="0" borderId="0" xfId="0" applyNumberFormat="1" applyFont="1" applyAlignment="1">
      <alignment vertical="center"/>
    </xf>
    <xf numFmtId="49" fontId="67" fillId="8" borderId="0" xfId="0" applyNumberFormat="1" applyFont="1" applyFill="1" applyAlignment="1">
      <alignment vertical="center"/>
    </xf>
    <xf numFmtId="49" fontId="68" fillId="8" borderId="0" xfId="0" applyNumberFormat="1" applyFont="1" applyFill="1" applyAlignment="1">
      <alignment vertical="center"/>
    </xf>
    <xf numFmtId="49" fontId="69" fillId="8" borderId="0" xfId="0" applyNumberFormat="1" applyFont="1" applyFill="1" applyAlignment="1">
      <alignment vertical="center"/>
    </xf>
    <xf numFmtId="49" fontId="70" fillId="8" borderId="0" xfId="0" applyNumberFormat="1" applyFont="1" applyFill="1" applyAlignment="1">
      <alignment vertical="center"/>
    </xf>
    <xf numFmtId="49" fontId="71" fillId="8" borderId="0" xfId="0" applyNumberFormat="1" applyFont="1" applyFill="1" applyAlignment="1">
      <alignment vertical="center"/>
    </xf>
    <xf numFmtId="49" fontId="72" fillId="8" borderId="0" xfId="0" applyNumberFormat="1" applyFont="1" applyFill="1" applyAlignment="1">
      <alignment horizontal="left" vertical="center"/>
    </xf>
    <xf numFmtId="49" fontId="73" fillId="8" borderId="0" xfId="0" applyNumberFormat="1" applyFont="1" applyFill="1" applyAlignment="1">
      <alignment horizontal="left" vertical="center"/>
    </xf>
    <xf numFmtId="49" fontId="74" fillId="8" borderId="22" xfId="0" applyNumberFormat="1" applyFont="1" applyFill="1" applyBorder="1" applyAlignment="1">
      <alignment vertical="center"/>
    </xf>
    <xf numFmtId="49" fontId="75" fillId="14" borderId="0" xfId="0" applyNumberFormat="1" applyFont="1" applyFill="1" applyAlignment="1">
      <alignment vertical="center"/>
    </xf>
    <xf numFmtId="49" fontId="76" fillId="15" borderId="0" xfId="0" applyNumberFormat="1" applyFont="1" applyFill="1" applyAlignment="1">
      <alignment horizontal="left" vertical="center"/>
    </xf>
    <xf numFmtId="49" fontId="77" fillId="8" borderId="0" xfId="0" applyNumberFormat="1" applyFont="1" applyFill="1" applyAlignment="1">
      <alignment horizontal="left" vertical="center"/>
    </xf>
    <xf numFmtId="49" fontId="78" fillId="16" borderId="0" xfId="0" applyNumberFormat="1" applyFont="1" applyFill="1" applyAlignment="1">
      <alignment vertical="center"/>
    </xf>
    <xf numFmtId="49" fontId="79" fillId="17" borderId="0" xfId="0" applyNumberFormat="1" applyFont="1" applyFill="1" applyAlignment="1">
      <alignment vertical="center"/>
    </xf>
    <xf numFmtId="49" fontId="80" fillId="0" borderId="0" xfId="0" applyNumberFormat="1" applyFont="1" applyAlignment="1">
      <alignment vertical="center"/>
    </xf>
    <xf numFmtId="49" fontId="81" fillId="15" borderId="0" xfId="0" applyNumberFormat="1" applyFont="1" applyFill="1" applyAlignment="1">
      <alignment vertical="center"/>
    </xf>
    <xf numFmtId="49" fontId="82" fillId="18" borderId="0" xfId="0" applyNumberFormat="1" applyFont="1" applyFill="1" applyAlignment="1">
      <alignment horizontal="left" vertical="top"/>
    </xf>
    <xf numFmtId="49" fontId="83" fillId="8" borderId="0" xfId="0" applyNumberFormat="1" applyFont="1" applyFill="1" applyAlignment="1">
      <alignment vertical="center"/>
    </xf>
    <xf numFmtId="49" fontId="84" fillId="8" borderId="0" xfId="0" applyNumberFormat="1" applyFont="1" applyFill="1" applyAlignment="1">
      <alignment vertical="center"/>
    </xf>
    <xf numFmtId="49" fontId="85" fillId="8" borderId="0" xfId="0" applyNumberFormat="1" applyFont="1" applyFill="1" applyAlignment="1">
      <alignment vertical="center"/>
    </xf>
    <xf numFmtId="49" fontId="86" fillId="0" borderId="0" xfId="0" applyNumberFormat="1" applyFont="1" applyAlignment="1">
      <alignment vertical="top"/>
    </xf>
    <xf numFmtId="49" fontId="87" fillId="8" borderId="0" xfId="0" applyNumberFormat="1" applyFont="1" applyFill="1" applyAlignment="1">
      <alignment horizontal="left" vertical="center"/>
    </xf>
    <xf numFmtId="49" fontId="88" fillId="8" borderId="0" xfId="0" applyNumberFormat="1" applyFont="1" applyFill="1" applyAlignment="1">
      <alignment horizontal="left" vertical="center"/>
    </xf>
    <xf numFmtId="49" fontId="89" fillId="8" borderId="0" xfId="0" applyNumberFormat="1" applyFont="1" applyFill="1" applyAlignment="1">
      <alignment vertical="center"/>
    </xf>
    <xf numFmtId="49" fontId="90" fillId="0" borderId="0" xfId="0" applyNumberFormat="1" applyFont="1" applyAlignment="1">
      <alignment horizontal="left" vertical="center"/>
    </xf>
    <xf numFmtId="49" fontId="91" fillId="8" borderId="0" xfId="0" applyNumberFormat="1" applyFont="1" applyFill="1" applyAlignment="1">
      <alignment vertical="center"/>
    </xf>
    <xf numFmtId="49" fontId="92" fillId="8" borderId="0" xfId="0" applyNumberFormat="1" applyFont="1" applyFill="1" applyAlignment="1">
      <alignment vertical="center"/>
    </xf>
    <xf numFmtId="0" fontId="23" fillId="19" borderId="20" xfId="0" applyFont="1" applyFill="1" applyBorder="1" applyAlignment="1">
      <alignment vertical="center"/>
    </xf>
    <xf numFmtId="49" fontId="23" fillId="19" borderId="14" xfId="0" applyNumberFormat="1" applyFont="1" applyFill="1" applyBorder="1" applyAlignment="1">
      <alignment vertical="center"/>
    </xf>
    <xf numFmtId="0" fontId="23" fillId="19" borderId="14" xfId="0" applyFont="1" applyFill="1" applyBorder="1" applyAlignment="1">
      <alignment vertical="center"/>
    </xf>
    <xf numFmtId="49" fontId="93" fillId="19" borderId="0" xfId="0" applyNumberFormat="1" applyFont="1" applyFill="1" applyAlignment="1">
      <alignment vertical="center"/>
    </xf>
    <xf numFmtId="166" fontId="23" fillId="19" borderId="14" xfId="0" applyNumberFormat="1" applyFont="1" applyFill="1" applyBorder="1" applyAlignment="1">
      <alignment vertical="center"/>
    </xf>
    <xf numFmtId="0" fontId="23" fillId="19" borderId="21" xfId="0" applyFont="1" applyFill="1" applyBorder="1" applyAlignment="1">
      <alignment vertical="center"/>
    </xf>
    <xf numFmtId="49" fontId="78" fillId="13" borderId="0" xfId="0" applyNumberFormat="1" applyFont="1" applyFill="1" applyAlignment="1">
      <alignment vertical="center"/>
    </xf>
    <xf numFmtId="49" fontId="94" fillId="8" borderId="0" xfId="0" applyNumberFormat="1" applyFont="1" applyFill="1" applyAlignment="1">
      <alignment vertical="center"/>
    </xf>
    <xf numFmtId="49" fontId="95" fillId="20" borderId="0" xfId="0" applyNumberFormat="1" applyFont="1" applyFill="1" applyAlignment="1">
      <alignment vertical="center"/>
    </xf>
    <xf numFmtId="49" fontId="94" fillId="15" borderId="0" xfId="0" applyNumberFormat="1" applyFont="1" applyFill="1" applyAlignment="1">
      <alignment vertical="center"/>
    </xf>
    <xf numFmtId="49" fontId="96" fillId="8" borderId="0" xfId="0" applyNumberFormat="1" applyFont="1" applyFill="1" applyAlignment="1">
      <alignment vertical="center"/>
    </xf>
    <xf numFmtId="49" fontId="97" fillId="8" borderId="0" xfId="0" applyNumberFormat="1" applyFont="1" applyFill="1" applyAlignment="1">
      <alignment vertical="center"/>
    </xf>
    <xf numFmtId="49" fontId="98" fillId="21" borderId="0" xfId="0" applyNumberFormat="1" applyFont="1" applyFill="1" applyAlignment="1">
      <alignment horizontal="left" vertical="center"/>
    </xf>
    <xf numFmtId="49" fontId="99" fillId="8" borderId="0" xfId="0" applyNumberFormat="1" applyFont="1" applyFill="1" applyAlignment="1">
      <alignment vertical="center"/>
    </xf>
    <xf numFmtId="49" fontId="100" fillId="22" borderId="0" xfId="0" applyNumberFormat="1" applyFont="1" applyFill="1" applyAlignment="1">
      <alignment vertical="center"/>
    </xf>
    <xf numFmtId="49" fontId="101" fillId="0" borderId="0" xfId="0" applyNumberFormat="1" applyFont="1" applyAlignment="1">
      <alignment vertical="center"/>
    </xf>
    <xf numFmtId="49" fontId="102" fillId="0" borderId="0" xfId="0" applyNumberFormat="1" applyFont="1" applyAlignment="1">
      <alignment vertical="center"/>
    </xf>
    <xf numFmtId="49" fontId="78" fillId="8" borderId="0" xfId="0" applyNumberFormat="1" applyFont="1" applyFill="1" applyAlignment="1">
      <alignment vertical="center"/>
    </xf>
    <xf numFmtId="49" fontId="103" fillId="8" borderId="0" xfId="0" applyNumberFormat="1" applyFont="1" applyFill="1" applyAlignment="1">
      <alignment vertical="center"/>
    </xf>
    <xf numFmtId="49" fontId="104" fillId="8" borderId="0" xfId="0" applyNumberFormat="1" applyFont="1" applyFill="1" applyAlignment="1">
      <alignment vertical="center"/>
    </xf>
    <xf numFmtId="49" fontId="105" fillId="0" borderId="0" xfId="0" applyNumberFormat="1" applyFont="1" applyAlignment="1">
      <alignment vertical="center"/>
    </xf>
    <xf numFmtId="49" fontId="106" fillId="8" borderId="0" xfId="0" applyNumberFormat="1" applyFont="1" applyFill="1" applyAlignment="1">
      <alignment horizontal="left" vertical="center"/>
    </xf>
    <xf numFmtId="49" fontId="107" fillId="17" borderId="0" xfId="0" applyNumberFormat="1" applyFont="1" applyFill="1" applyAlignment="1">
      <alignment vertical="center"/>
    </xf>
    <xf numFmtId="49" fontId="108" fillId="0" borderId="0" xfId="0" applyNumberFormat="1" applyFont="1" applyAlignment="1">
      <alignment vertical="center"/>
    </xf>
    <xf numFmtId="49" fontId="109" fillId="0" borderId="0" xfId="0" applyNumberFormat="1" applyFont="1" applyAlignment="1">
      <alignment vertical="center"/>
    </xf>
    <xf numFmtId="49" fontId="110" fillId="0" borderId="0" xfId="0" applyNumberFormat="1" applyFont="1" applyAlignment="1">
      <alignment vertical="center"/>
    </xf>
    <xf numFmtId="49" fontId="111" fillId="16" borderId="0" xfId="0" applyNumberFormat="1" applyFont="1" applyFill="1" applyAlignment="1">
      <alignment vertical="center"/>
    </xf>
    <xf numFmtId="49" fontId="112" fillId="0" borderId="0" xfId="0" applyNumberFormat="1" applyFont="1" applyAlignment="1">
      <alignment vertical="center"/>
    </xf>
    <xf numFmtId="49" fontId="75" fillId="8" borderId="0" xfId="0" applyNumberFormat="1" applyFont="1" applyFill="1" applyAlignment="1">
      <alignment vertical="center"/>
    </xf>
    <xf numFmtId="49" fontId="113" fillId="8" borderId="0" xfId="0" applyNumberFormat="1" applyFont="1" applyFill="1" applyAlignment="1">
      <alignment vertical="center"/>
    </xf>
    <xf numFmtId="49" fontId="114" fillId="8" borderId="0" xfId="0" applyNumberFormat="1" applyFont="1" applyFill="1" applyAlignment="1">
      <alignment vertical="center"/>
    </xf>
    <xf numFmtId="49" fontId="115" fillId="23" borderId="0" xfId="0" applyNumberFormat="1" applyFont="1" applyFill="1" applyAlignment="1">
      <alignment vertical="center"/>
    </xf>
    <xf numFmtId="49" fontId="80" fillId="8" borderId="0" xfId="0" applyNumberFormat="1" applyFont="1" applyFill="1" applyAlignment="1">
      <alignment vertical="center"/>
    </xf>
    <xf numFmtId="49" fontId="90" fillId="8" borderId="0" xfId="0" applyNumberFormat="1" applyFont="1" applyFill="1" applyAlignment="1">
      <alignment vertical="center"/>
    </xf>
    <xf numFmtId="49" fontId="116" fillId="8" borderId="0" xfId="0" applyNumberFormat="1" applyFont="1" applyFill="1" applyAlignment="1">
      <alignment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/>
    <xf numFmtId="0" fontId="20" fillId="0" borderId="23" xfId="0" applyFont="1" applyBorder="1"/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1" fillId="0" borderId="0" xfId="0" applyFont="1" applyAlignment="1">
      <alignment horizontal="center" vertical="center"/>
    </xf>
    <xf numFmtId="166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0" fontId="20" fillId="24" borderId="27" xfId="0" applyNumberFormat="1" applyFont="1" applyFill="1" applyBorder="1" applyAlignment="1">
      <alignment vertical="center"/>
    </xf>
    <xf numFmtId="10" fontId="20" fillId="24" borderId="28" xfId="0" applyNumberFormat="1" applyFont="1" applyFill="1" applyBorder="1" applyAlignment="1">
      <alignment vertical="center"/>
    </xf>
    <xf numFmtId="0" fontId="11" fillId="25" borderId="29" xfId="0" applyFont="1" applyFill="1" applyBorder="1" applyAlignment="1">
      <alignment horizontal="center" vertical="center" wrapText="1"/>
    </xf>
    <xf numFmtId="0" fontId="11" fillId="25" borderId="30" xfId="0" applyFont="1" applyFill="1" applyBorder="1" applyAlignment="1">
      <alignment horizontal="center" vertical="center" wrapText="1"/>
    </xf>
    <xf numFmtId="0" fontId="11" fillId="25" borderId="31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vertical="center" wrapText="1"/>
    </xf>
    <xf numFmtId="0" fontId="20" fillId="0" borderId="33" xfId="0" applyFont="1" applyBorder="1" applyAlignment="1">
      <alignment vertical="center" wrapText="1"/>
    </xf>
    <xf numFmtId="10" fontId="20" fillId="0" borderId="33" xfId="0" applyNumberFormat="1" applyFont="1" applyBorder="1" applyAlignment="1">
      <alignment vertical="center" wrapText="1"/>
    </xf>
    <xf numFmtId="0" fontId="11" fillId="25" borderId="34" xfId="0" applyFont="1" applyFill="1" applyBorder="1" applyAlignment="1">
      <alignment horizontal="center" vertical="center" wrapText="1"/>
    </xf>
    <xf numFmtId="10" fontId="20" fillId="0" borderId="35" xfId="0" applyNumberFormat="1" applyFont="1" applyBorder="1" applyAlignment="1">
      <alignment vertical="center" wrapText="1"/>
    </xf>
    <xf numFmtId="166" fontId="20" fillId="0" borderId="0" xfId="0" applyNumberFormat="1" applyFont="1"/>
    <xf numFmtId="0" fontId="20" fillId="24" borderId="28" xfId="0" applyFont="1" applyFill="1" applyBorder="1"/>
    <xf numFmtId="0" fontId="20" fillId="24" borderId="36" xfId="0" applyFont="1" applyFill="1" applyBorder="1"/>
    <xf numFmtId="0" fontId="22" fillId="0" borderId="16" xfId="0" applyFont="1" applyBorder="1" applyAlignment="1">
      <alignment vertical="center"/>
    </xf>
    <xf numFmtId="49" fontId="23" fillId="0" borderId="17" xfId="0" applyNumberFormat="1" applyFont="1" applyBorder="1" applyAlignment="1">
      <alignment vertical="center"/>
    </xf>
    <xf numFmtId="166" fontId="23" fillId="0" borderId="18" xfId="0" applyNumberFormat="1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166" fontId="23" fillId="0" borderId="21" xfId="0" applyNumberFormat="1" applyFont="1" applyBorder="1" applyAlignment="1">
      <alignment vertical="center"/>
    </xf>
    <xf numFmtId="0" fontId="22" fillId="0" borderId="20" xfId="0" applyFont="1" applyBorder="1"/>
    <xf numFmtId="0" fontId="23" fillId="0" borderId="14" xfId="0" applyFont="1" applyBorder="1"/>
    <xf numFmtId="0" fontId="23" fillId="0" borderId="21" xfId="0" applyFont="1" applyBorder="1"/>
    <xf numFmtId="0" fontId="22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49" fontId="23" fillId="0" borderId="18" xfId="0" applyNumberFormat="1" applyFont="1" applyBorder="1" applyAlignment="1">
      <alignment vertical="center"/>
    </xf>
    <xf numFmtId="49" fontId="23" fillId="0" borderId="21" xfId="0" applyNumberFormat="1" applyFont="1" applyBorder="1" applyAlignment="1">
      <alignment vertical="center"/>
    </xf>
    <xf numFmtId="49" fontId="21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165" fontId="23" fillId="0" borderId="0" xfId="0" applyNumberFormat="1" applyFont="1" applyAlignment="1">
      <alignment vertical="center"/>
    </xf>
    <xf numFmtId="166" fontId="23" fillId="0" borderId="0" xfId="0" applyNumberFormat="1" applyFont="1" applyAlignment="1">
      <alignment vertical="center"/>
    </xf>
    <xf numFmtId="165" fontId="23" fillId="0" borderId="17" xfId="0" applyNumberFormat="1" applyFont="1" applyBorder="1" applyAlignment="1">
      <alignment vertical="center"/>
    </xf>
    <xf numFmtId="165" fontId="23" fillId="0" borderId="14" xfId="0" applyNumberFormat="1" applyFont="1" applyBorder="1" applyAlignment="1">
      <alignment vertical="center"/>
    </xf>
    <xf numFmtId="0" fontId="20" fillId="2" borderId="0" xfId="0" applyFont="1" applyFill="1"/>
    <xf numFmtId="1" fontId="121" fillId="27" borderId="39" xfId="0" applyNumberFormat="1" applyFont="1" applyFill="1" applyBorder="1" applyAlignment="1">
      <alignment horizontal="center" vertical="center"/>
    </xf>
    <xf numFmtId="167" fontId="122" fillId="7" borderId="5" xfId="0" applyNumberFormat="1" applyFont="1" applyFill="1" applyBorder="1" applyAlignment="1">
      <alignment horizontal="center"/>
    </xf>
    <xf numFmtId="0" fontId="123" fillId="7" borderId="5" xfId="0" applyFont="1" applyFill="1" applyBorder="1" applyAlignment="1">
      <alignment horizontal="center" vertical="center"/>
    </xf>
    <xf numFmtId="167" fontId="122" fillId="8" borderId="5" xfId="0" applyNumberFormat="1" applyFont="1" applyFill="1" applyBorder="1" applyAlignment="1">
      <alignment horizontal="center"/>
    </xf>
    <xf numFmtId="0" fontId="123" fillId="8" borderId="5" xfId="0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0" fontId="124" fillId="2" borderId="8" xfId="0" applyFont="1" applyFill="1" applyBorder="1" applyAlignment="1">
      <alignment horizontal="center" vertical="center"/>
    </xf>
    <xf numFmtId="164" fontId="14" fillId="2" borderId="8" xfId="0" applyNumberFormat="1" applyFont="1" applyFill="1" applyBorder="1" applyAlignment="1">
      <alignment horizontal="center" vertical="center"/>
    </xf>
    <xf numFmtId="165" fontId="123" fillId="7" borderId="5" xfId="0" applyNumberFormat="1" applyFont="1" applyFill="1" applyBorder="1" applyAlignment="1">
      <alignment horizontal="center" vertical="center"/>
    </xf>
    <xf numFmtId="165" fontId="123" fillId="8" borderId="5" xfId="0" applyNumberFormat="1" applyFont="1" applyFill="1" applyBorder="1" applyAlignment="1">
      <alignment horizontal="center" vertical="center"/>
    </xf>
    <xf numFmtId="0" fontId="124" fillId="2" borderId="8" xfId="0" applyFont="1" applyFill="1" applyBorder="1" applyAlignment="1">
      <alignment horizontal="left" vertical="center"/>
    </xf>
    <xf numFmtId="165" fontId="124" fillId="2" borderId="8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horizontal="left" vertical="center"/>
    </xf>
    <xf numFmtId="0" fontId="126" fillId="0" borderId="0" xfId="0" applyFont="1" applyAlignment="1">
      <alignment horizontal="left" vertical="center"/>
    </xf>
    <xf numFmtId="0" fontId="123" fillId="7" borderId="5" xfId="0" applyFont="1" applyFill="1" applyBorder="1" applyAlignment="1">
      <alignment horizontal="left" vertical="center"/>
    </xf>
    <xf numFmtId="165" fontId="127" fillId="27" borderId="39" xfId="0" applyNumberFormat="1" applyFont="1" applyFill="1" applyBorder="1" applyAlignment="1">
      <alignment horizontal="center" vertical="center"/>
    </xf>
    <xf numFmtId="0" fontId="128" fillId="7" borderId="5" xfId="0" applyFont="1" applyFill="1" applyBorder="1" applyAlignment="1">
      <alignment horizontal="left" vertical="center"/>
    </xf>
    <xf numFmtId="164" fontId="14" fillId="7" borderId="5" xfId="0" applyNumberFormat="1" applyFont="1" applyFill="1" applyBorder="1" applyAlignment="1">
      <alignment horizontal="center" vertical="center"/>
    </xf>
    <xf numFmtId="0" fontId="128" fillId="8" borderId="5" xfId="0" applyFont="1" applyFill="1" applyBorder="1" applyAlignment="1">
      <alignment horizontal="left" vertical="center"/>
    </xf>
    <xf numFmtId="9" fontId="127" fillId="27" borderId="39" xfId="0" applyNumberFormat="1" applyFont="1" applyFill="1" applyBorder="1" applyAlignment="1">
      <alignment horizontal="center" vertical="center"/>
    </xf>
    <xf numFmtId="0" fontId="127" fillId="27" borderId="39" xfId="0" applyFont="1" applyFill="1" applyBorder="1" applyAlignment="1">
      <alignment horizontal="center" vertical="center"/>
    </xf>
    <xf numFmtId="0" fontId="129" fillId="8" borderId="5" xfId="0" applyFont="1" applyFill="1" applyBorder="1" applyAlignment="1">
      <alignment horizontal="center" vertical="center"/>
    </xf>
    <xf numFmtId="0" fontId="123" fillId="8" borderId="5" xfId="0" applyFont="1" applyFill="1" applyBorder="1" applyAlignment="1">
      <alignment horizontal="left" vertical="center"/>
    </xf>
    <xf numFmtId="0" fontId="124" fillId="2" borderId="5" xfId="0" applyFont="1" applyFill="1" applyBorder="1" applyAlignment="1">
      <alignment horizontal="left" vertical="center"/>
    </xf>
    <xf numFmtId="0" fontId="130" fillId="2" borderId="5" xfId="0" applyFont="1" applyFill="1" applyBorder="1" applyAlignment="1">
      <alignment horizontal="center" vertical="center"/>
    </xf>
    <xf numFmtId="0" fontId="131" fillId="0" borderId="0" xfId="0" applyFont="1"/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12" fillId="2" borderId="7" xfId="0" applyFont="1" applyFill="1" applyBorder="1" applyAlignment="1">
      <alignment horizontal="center" vertical="center" textRotation="90"/>
    </xf>
    <xf numFmtId="0" fontId="3" fillId="0" borderId="9" xfId="0" applyFont="1" applyBorder="1"/>
    <xf numFmtId="0" fontId="3" fillId="0" borderId="13" xfId="0" applyFont="1" applyBorder="1"/>
    <xf numFmtId="0" fontId="17" fillId="0" borderId="0" xfId="0" applyFont="1" applyAlignment="1">
      <alignment wrapText="1"/>
    </xf>
    <xf numFmtId="0" fontId="117" fillId="2" borderId="0" xfId="0" applyFont="1" applyFill="1" applyAlignment="1">
      <alignment horizontal="center"/>
    </xf>
    <xf numFmtId="0" fontId="118" fillId="2" borderId="0" xfId="0" applyFont="1" applyFill="1" applyAlignment="1">
      <alignment horizontal="center"/>
    </xf>
    <xf numFmtId="0" fontId="119" fillId="2" borderId="2" xfId="0" applyFont="1" applyFill="1" applyBorder="1" applyAlignment="1">
      <alignment horizontal="left" vertical="center"/>
    </xf>
    <xf numFmtId="0" fontId="120" fillId="26" borderId="37" xfId="0" applyFont="1" applyFill="1" applyBorder="1" applyAlignment="1">
      <alignment horizontal="center" vertical="center"/>
    </xf>
    <xf numFmtId="0" fontId="3" fillId="0" borderId="38" xfId="0" applyFont="1" applyBorder="1"/>
    <xf numFmtId="0" fontId="17" fillId="0" borderId="0" xfId="0" applyFont="1" applyAlignment="1">
      <alignment horizontal="left" vertical="center" wrapText="1"/>
    </xf>
    <xf numFmtId="0" fontId="5" fillId="0" borderId="0" xfId="0" applyFont="1"/>
    <xf numFmtId="0" fontId="14" fillId="0" borderId="0" xfId="0" applyFont="1"/>
  </cellXfs>
  <cellStyles count="1">
    <cellStyle name="Standard" xfId="0" builtinId="0"/>
  </cellStyles>
  <dxfs count="2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1E2035"/>
        </left>
        <right style="thin">
          <color rgb="FF1E2035"/>
        </right>
        <top style="thin">
          <color rgb="FF1E2035"/>
        </top>
        <bottom style="thin">
          <color rgb="FF1E203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0F18"/>
          <bgColor rgb="FF0F0F18"/>
        </patternFill>
      </fill>
    </dxf>
    <dxf>
      <border>
        <left style="thin">
          <color rgb="FF1E2035"/>
        </left>
        <right style="thin">
          <color rgb="FF1E2035"/>
        </right>
        <top style="thin">
          <color rgb="FF1E2035"/>
        </top>
        <bottom style="thin">
          <color rgb="FF1E203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0F18"/>
          <bgColor rgb="FF0F0F18"/>
        </patternFill>
      </fill>
    </dxf>
    <dxf>
      <border>
        <left style="thin">
          <color rgb="FF1E2035"/>
        </left>
        <right style="thin">
          <color rgb="FF1E2035"/>
        </right>
        <top style="thin">
          <color rgb="FF1E2035"/>
        </top>
        <bottom style="thin">
          <color rgb="FF1E203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0F18"/>
          <bgColor rgb="FF0F0F18"/>
        </patternFill>
      </fill>
    </dxf>
    <dxf>
      <border>
        <left style="thin">
          <color rgb="FF1E2035"/>
        </left>
        <right style="thin">
          <color rgb="FF1E2035"/>
        </right>
        <top style="thin">
          <color rgb="FF1E2035"/>
        </top>
        <bottom style="thin">
          <color rgb="FF1E203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0F18"/>
          <bgColor rgb="FF0F0F18"/>
        </patternFill>
      </fill>
    </dxf>
    <dxf>
      <border>
        <left style="thin">
          <color rgb="FF1E2035"/>
        </left>
        <right style="thin">
          <color rgb="FF1E2035"/>
        </right>
        <top style="thin">
          <color rgb="FF1E2035"/>
        </top>
        <bottom style="thin">
          <color rgb="FF1E203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0F18"/>
          <bgColor rgb="FF0F0F18"/>
        </patternFill>
      </fill>
    </dxf>
    <dxf>
      <border>
        <left style="thin">
          <color rgb="FF1E2035"/>
        </left>
        <right style="thin">
          <color rgb="FF1E2035"/>
        </right>
        <top style="thin">
          <color rgb="FF1E2035"/>
        </top>
        <bottom style="thin">
          <color rgb="FF1E203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2035"/>
          <bgColor rgb="FF1E2035"/>
        </patternFill>
      </fill>
    </dxf>
  </dxfs>
  <tableStyles count="6">
    <tableStyle name="Akquise-style" pivot="0" count="4" xr9:uid="{00000000-0011-0000-FFFF-FFFF00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Akquise-Tracking-style" pivot="0" count="4" xr9:uid="{00000000-0011-0000-FFFF-FFFF01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Quali-Calls-style" pivot="0" count="4" xr9:uid="{00000000-0011-0000-FFFF-FFFF02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Sales-Calls-style" pivot="0" count="4" xr9:uid="{00000000-0011-0000-FFFF-FFFF03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Kunden-style" pivot="0" count="4" xr9:uid="{00000000-0011-0000-FFFF-FFFF04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Listen-style" pivot="0" count="4" xr9:uid="{00000000-0011-0000-FFFF-FFFF05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quise" displayName="Akquise" ref="A1:P275">
  <tableColumns count="16">
    <tableColumn id="1" xr3:uid="{00000000-0010-0000-0000-000001000000}" name="ID"/>
    <tableColumn id="2" xr3:uid="{00000000-0010-0000-0000-000002000000}" name="Zielgruppe"/>
    <tableColumn id="3" xr3:uid="{00000000-0010-0000-0000-000003000000}" name="Firmenname"/>
    <tableColumn id="4" xr3:uid="{00000000-0010-0000-0000-000004000000}" name="Ansprechpartner"/>
    <tableColumn id="5" xr3:uid="{00000000-0010-0000-0000-000005000000}" name="Position"/>
    <tableColumn id="6" xr3:uid="{00000000-0010-0000-0000-000006000000}" name="Stadt / Region"/>
    <tableColumn id="7" xr3:uid="{00000000-0010-0000-0000-000007000000}" name="Website"/>
    <tableColumn id="8" xr3:uid="{00000000-0010-0000-0000-000008000000}" name="Telefon"/>
    <tableColumn id="9" xr3:uid="{00000000-0010-0000-0000-000009000000}" name="E-Mail"/>
    <tableColumn id="10" xr3:uid="{00000000-0010-0000-0000-00000A000000}" name="Quelle"/>
    <tableColumn id="11" xr3:uid="{00000000-0010-0000-0000-00000B000000}" name="Website-Qualität"/>
    <tableColumn id="12" xr3:uid="{00000000-0010-0000-0000-00000C000000}" name="Priorität"/>
    <tableColumn id="13" xr3:uid="{00000000-0010-0000-0000-00000D000000}" name="Erstkontakt am"/>
    <tableColumn id="14" xr3:uid="{00000000-0010-0000-0000-00000E000000}" name="Akquise-Ergebnis"/>
    <tableColumn id="15" xr3:uid="{00000000-0010-0000-0000-00000F000000}" name="Wiedervorlage"/>
    <tableColumn id="16" xr3:uid="{00000000-0010-0000-0000-000010000000}" name="Notizen"/>
  </tableColumns>
  <tableStyleInfo name="Akqui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kquiseTracking" displayName="AkquiseTracking" ref="A3:H500">
  <tableColumns count="8">
    <tableColumn id="1" xr3:uid="{00000000-0010-0000-0100-000001000000}" name="Datum"/>
    <tableColumn id="2" xr3:uid="{00000000-0010-0000-0100-000002000000}" name="Wählversuche"/>
    <tableColumn id="3" xr3:uid="{00000000-0010-0000-0100-000003000000}" name="Gespräche mit Empfang"/>
    <tableColumn id="4" xr3:uid="{00000000-0010-0000-0100-000004000000}" name="Quote_x000a_ Empfang"/>
    <tableColumn id="5" xr3:uid="{00000000-0010-0000-0100-000005000000}" name="Gespräche mit Entscheider"/>
    <tableColumn id="6" xr3:uid="{00000000-0010-0000-0100-000006000000}" name="Quote_x000a_ Empfang Überwindung"/>
    <tableColumn id="7" xr3:uid="{00000000-0010-0000-0100-000007000000}" name="Termine vereinbart"/>
    <tableColumn id="8" xr3:uid="{00000000-0010-0000-0100-000008000000}" name="Quote_x000a_ Quali-Call"/>
  </tableColumns>
  <tableStyleInfo name="Akquise-Track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alliCalls" displayName="QualliCalls" ref="A1:J10">
  <tableColumns count="10">
    <tableColumn id="1" xr3:uid="{00000000-0010-0000-0200-000001000000}" name="ID"/>
    <tableColumn id="2" xr3:uid="{00000000-0010-0000-0200-000002000000}" name="Zielgruppe"/>
    <tableColumn id="3" xr3:uid="{00000000-0010-0000-0200-000003000000}" name="Firmenname"/>
    <tableColumn id="4" xr3:uid="{00000000-0010-0000-0200-000004000000}" name="Ansprechpartner"/>
    <tableColumn id="5" xr3:uid="{00000000-0010-0000-0200-000005000000}" name="Telefon"/>
    <tableColumn id="6" xr3:uid="{00000000-0010-0000-0200-000006000000}" name="E-Mail"/>
    <tableColumn id="7" xr3:uid="{00000000-0010-0000-0200-000007000000}" name="Quali-Call am"/>
    <tableColumn id="8" xr3:uid="{00000000-0010-0000-0200-000008000000}" name="Quali-Ergebnis"/>
    <tableColumn id="9" xr3:uid="{00000000-0010-0000-0200-000009000000}" name="Wiedervorlage"/>
    <tableColumn id="10" xr3:uid="{00000000-0010-0000-0200-00000A000000}" name="Bedarf / Notizen"/>
  </tableColumns>
  <tableStyleInfo name="Quali-Call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Calls" displayName="SaleCalls" ref="A1:L10">
  <tableColumns count="12">
    <tableColumn id="1" xr3:uid="{00000000-0010-0000-0300-000001000000}" name="ID"/>
    <tableColumn id="2" xr3:uid="{00000000-0010-0000-0300-000002000000}" name="Zielgruppe"/>
    <tableColumn id="3" xr3:uid="{00000000-0010-0000-0300-000003000000}" name="Firmenname"/>
    <tableColumn id="4" xr3:uid="{00000000-0010-0000-0300-000004000000}" name="Ansprechpartner"/>
    <tableColumn id="5" xr3:uid="{00000000-0010-0000-0300-000005000000}" name="Telefon"/>
    <tableColumn id="6" xr3:uid="{00000000-0010-0000-0300-000006000000}" name="E-Mail"/>
    <tableColumn id="7" xr3:uid="{00000000-0010-0000-0300-000007000000}" name="Closing-Call am"/>
    <tableColumn id="8" xr3:uid="{00000000-0010-0000-0300-000008000000}" name="Leistungen"/>
    <tableColumn id="9" xr3:uid="{00000000-0010-0000-0300-000009000000}" name="Angebotsvolumen (€)"/>
    <tableColumn id="10" xr3:uid="{00000000-0010-0000-0300-00000A000000}" name="Leistungsbeginn"/>
    <tableColumn id="11" xr3:uid="{00000000-0010-0000-0300-00000B000000}" name="Sales-Ergebnis"/>
    <tableColumn id="12" xr3:uid="{00000000-0010-0000-0300-00000C000000}" name="Notizen"/>
  </tableColumns>
  <tableStyleInfo name="Sales-Call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unden" displayName="Kunden" ref="A1:L12">
  <tableColumns count="12">
    <tableColumn id="1" xr3:uid="{00000000-0010-0000-0400-000001000000}" name="ID"/>
    <tableColumn id="2" xr3:uid="{00000000-0010-0000-0400-000002000000}" name="Zielgruppe"/>
    <tableColumn id="3" xr3:uid="{00000000-0010-0000-0400-000003000000}" name="Firmenname"/>
    <tableColumn id="4" xr3:uid="{00000000-0010-0000-0400-000004000000}" name="Ansprechpartner"/>
    <tableColumn id="5" xr3:uid="{00000000-0010-0000-0400-000005000000}" name="Telefon"/>
    <tableColumn id="6" xr3:uid="{00000000-0010-0000-0400-000006000000}" name="E-Mail"/>
    <tableColumn id="7" xr3:uid="{00000000-0010-0000-0400-000007000000}" name="Leistungen"/>
    <tableColumn id="8" xr3:uid="{00000000-0010-0000-0400-000008000000}" name="Auftragsvolumen (€)"/>
    <tableColumn id="9" xr3:uid="{00000000-0010-0000-0400-000009000000}" name="Leistungsbeginn"/>
    <tableColumn id="10" xr3:uid="{00000000-0010-0000-0400-00000A000000}" name="Abschluss am"/>
    <tableColumn id="11" xr3:uid="{00000000-0010-0000-0400-00000B000000}" name="KD-NR"/>
    <tableColumn id="12" xr3:uid="{00000000-0010-0000-0400-00000C000000}" name="Notizen"/>
  </tableColumns>
  <tableStyleInfo name="Kunde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ropdowns" displayName="Dropdowns" ref="A1:G11">
  <tableColumns count="7">
    <tableColumn id="1" xr3:uid="{00000000-0010-0000-0500-000001000000}" name="Zielgruppe"/>
    <tableColumn id="2" xr3:uid="{00000000-0010-0000-0500-000002000000}" name="Quelle"/>
    <tableColumn id="3" xr3:uid="{00000000-0010-0000-0500-000003000000}" name="Website-Qualität"/>
    <tableColumn id="4" xr3:uid="{00000000-0010-0000-0500-000004000000}" name="Priorität"/>
    <tableColumn id="5" xr3:uid="{00000000-0010-0000-0500-000005000000}" name="Akquise-Ergebnis"/>
    <tableColumn id="6" xr3:uid="{00000000-0010-0000-0500-000006000000}" name="Quali-Ergebnis"/>
    <tableColumn id="7" xr3:uid="{00000000-0010-0000-0500-000007000000}" name="Sales-Ergebnis"/>
  </tableColumns>
  <tableStyleInfo name="Liste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b-ke.de/" TargetMode="External"/><Relationship Id="rId21" Type="http://schemas.openxmlformats.org/officeDocument/2006/relationships/hyperlink" Target="https://www.anwalt-reinheimer.de/" TargetMode="External"/><Relationship Id="rId63" Type="http://schemas.openxmlformats.org/officeDocument/2006/relationships/hyperlink" Target="https://rammingerpartner.de/" TargetMode="External"/><Relationship Id="rId159" Type="http://schemas.openxmlformats.org/officeDocument/2006/relationships/hyperlink" Target="http://www.steuerberater-betz.de/Steuerberater_Dieter_Betz/Willkommen.html" TargetMode="External"/><Relationship Id="rId170" Type="http://schemas.openxmlformats.org/officeDocument/2006/relationships/hyperlink" Target="https://www.alsteuerberatung.de/" TargetMode="External"/><Relationship Id="rId226" Type="http://schemas.openxmlformats.org/officeDocument/2006/relationships/hyperlink" Target="mailto:steuerberater-schoebel@datevnet.de%C2%A0" TargetMode="External"/><Relationship Id="rId268" Type="http://schemas.openxmlformats.org/officeDocument/2006/relationships/hyperlink" Target="mailto:gottfried@ruehlemann.de" TargetMode="External"/><Relationship Id="rId32" Type="http://schemas.openxmlformats.org/officeDocument/2006/relationships/hyperlink" Target="https://www.kroth-decher.de/" TargetMode="External"/><Relationship Id="rId74" Type="http://schemas.openxmlformats.org/officeDocument/2006/relationships/hyperlink" Target="https://www.steuerberater-gauder.de/" TargetMode="External"/><Relationship Id="rId128" Type="http://schemas.openxmlformats.org/officeDocument/2006/relationships/hyperlink" Target="mailto:stefan.sauer@sauersteuer.de" TargetMode="External"/><Relationship Id="rId5" Type="http://schemas.openxmlformats.org/officeDocument/2006/relationships/hyperlink" Target="https://anwalt-weber.de/" TargetMode="External"/><Relationship Id="rId95" Type="http://schemas.openxmlformats.org/officeDocument/2006/relationships/hyperlink" Target="mailto:service@steuerberatung-bieber.de" TargetMode="External"/><Relationship Id="rId160" Type="http://schemas.openxmlformats.org/officeDocument/2006/relationships/hyperlink" Target="https://www.stb-keufer.de/about/" TargetMode="External"/><Relationship Id="rId181" Type="http://schemas.openxmlformats.org/officeDocument/2006/relationships/hyperlink" Target="https://heilbronn-libersave.de/merchants/benndorf-m-steuerberater-5f2652cb68142468" TargetMode="External"/><Relationship Id="rId216" Type="http://schemas.openxmlformats.org/officeDocument/2006/relationships/hyperlink" Target="https://www.bing.com/alink/link?url=https%3a%2f%2fwww.kanzlei-kkp.de%2f&amp;source=serp-local&amp;h=S08Ta65bSJsAXdXEDWiie2%2bnucZpnpkN2lb4ivPfwBk%3d&amp;p=lw_magsmlt&amp;ig=C9C4F44002DC4D00941B1B17CA81C1EC&amp;ypid=YN7B86DC0766E68CBD" TargetMode="External"/><Relationship Id="rId237" Type="http://schemas.openxmlformats.org/officeDocument/2006/relationships/hyperlink" Target="mailto:stb.witte.web@gmx.de" TargetMode="External"/><Relationship Id="rId258" Type="http://schemas.openxmlformats.org/officeDocument/2006/relationships/hyperlink" Target="mailto:info@kanzlei-sack-dortmund.de" TargetMode="External"/><Relationship Id="rId22" Type="http://schemas.openxmlformats.org/officeDocument/2006/relationships/hyperlink" Target="https://bach-anwaelte.de/" TargetMode="External"/><Relationship Id="rId43" Type="http://schemas.openxmlformats.org/officeDocument/2006/relationships/hyperlink" Target="https://www.wernli-steuerberatung.com/" TargetMode="External"/><Relationship Id="rId64" Type="http://schemas.openxmlformats.org/officeDocument/2006/relationships/hyperlink" Target="https://www.sina-neumann.de/" TargetMode="External"/><Relationship Id="rId118" Type="http://schemas.openxmlformats.org/officeDocument/2006/relationships/hyperlink" Target="mailto:info@stb-ke.de" TargetMode="External"/><Relationship Id="rId139" Type="http://schemas.openxmlformats.org/officeDocument/2006/relationships/hyperlink" Target="https://www.stb-horn-pohl.de/86/Impressum.html" TargetMode="External"/><Relationship Id="rId85" Type="http://schemas.openxmlformats.org/officeDocument/2006/relationships/hyperlink" Target="https://www.apriori-ra.de/" TargetMode="External"/><Relationship Id="rId150" Type="http://schemas.openxmlformats.org/officeDocument/2006/relationships/hyperlink" Target="https://ghvdf.de/mitglied/steuerberater-helmut-r-woerner-betriebswirt-vwa/" TargetMode="External"/><Relationship Id="rId171" Type="http://schemas.openxmlformats.org/officeDocument/2006/relationships/hyperlink" Target="https://ludwig-reichert.de/" TargetMode="External"/><Relationship Id="rId192" Type="http://schemas.openxmlformats.org/officeDocument/2006/relationships/hyperlink" Target="mailto:info@lothar-pilny.de" TargetMode="External"/><Relationship Id="rId206" Type="http://schemas.openxmlformats.org/officeDocument/2006/relationships/hyperlink" Target="https://www.bing.com/alink/link?url=http%3a%2f%2fselbstanzeige-nuernberg.de%2f&amp;source=serp-local&amp;h=BjNTsn7veaYnH6xSk25cYhBNoy0BD4vvvLwIa7dNaDg%3d&amp;p=lw_magsmlt&amp;ig=944B72C4E54249A3B2D630E0CB6CCA09&amp;ypid=YNEEEB18D6E0548E4A" TargetMode="External"/><Relationship Id="rId227" Type="http://schemas.openxmlformats.org/officeDocument/2006/relationships/hyperlink" Target="http://www.stendel-stb.de/" TargetMode="External"/><Relationship Id="rId248" Type="http://schemas.openxmlformats.org/officeDocument/2006/relationships/hyperlink" Target="mailto:info@steuerkanzlei-dortmund.de" TargetMode="External"/><Relationship Id="rId269" Type="http://schemas.openxmlformats.org/officeDocument/2006/relationships/hyperlink" Target="https://asg-steuerberater.biz/impressum/" TargetMode="External"/><Relationship Id="rId12" Type="http://schemas.openxmlformats.org/officeDocument/2006/relationships/hyperlink" Target="https://rae-ohly-zoeller.com/" TargetMode="External"/><Relationship Id="rId33" Type="http://schemas.openxmlformats.org/officeDocument/2006/relationships/hyperlink" Target="https://anwalt-ovchinski.de/" TargetMode="External"/><Relationship Id="rId108" Type="http://schemas.openxmlformats.org/officeDocument/2006/relationships/hyperlink" Target="https://www.stb-mutlu.de/" TargetMode="External"/><Relationship Id="rId129" Type="http://schemas.openxmlformats.org/officeDocument/2006/relationships/hyperlink" Target="https://www.betzpartner.de/res_home.html" TargetMode="External"/><Relationship Id="rId54" Type="http://schemas.openxmlformats.org/officeDocument/2006/relationships/hyperlink" Target="https://stb-friedel.de/" TargetMode="External"/><Relationship Id="rId75" Type="http://schemas.openxmlformats.org/officeDocument/2006/relationships/hyperlink" Target="https://www.steuerberater-press.org/" TargetMode="External"/><Relationship Id="rId96" Type="http://schemas.openxmlformats.org/officeDocument/2006/relationships/hyperlink" Target="https://www.rechtsberatung-reuter.de/" TargetMode="External"/><Relationship Id="rId140" Type="http://schemas.openxmlformats.org/officeDocument/2006/relationships/hyperlink" Target="mailto:info@stb-horn-pohl.de" TargetMode="External"/><Relationship Id="rId161" Type="http://schemas.openxmlformats.org/officeDocument/2006/relationships/hyperlink" Target="http://www.stb-keufer.de/" TargetMode="External"/><Relationship Id="rId182" Type="http://schemas.openxmlformats.org/officeDocument/2006/relationships/hyperlink" Target="https://www.rechtsanwalt-bodelshausen.de/" TargetMode="External"/><Relationship Id="rId217" Type="http://schemas.openxmlformats.org/officeDocument/2006/relationships/hyperlink" Target="https://www.kanzlei-kkp.de/" TargetMode="External"/><Relationship Id="rId6" Type="http://schemas.openxmlformats.org/officeDocument/2006/relationships/hyperlink" Target="http://www.porkert-rechtsanwaelte.de/" TargetMode="External"/><Relationship Id="rId238" Type="http://schemas.openxmlformats.org/officeDocument/2006/relationships/hyperlink" Target="https://www.steuerberatung-weingartz.de/" TargetMode="External"/><Relationship Id="rId259" Type="http://schemas.openxmlformats.org/officeDocument/2006/relationships/hyperlink" Target="https://www.schaefermeyer.net/index.php?id=58" TargetMode="External"/><Relationship Id="rId23" Type="http://schemas.openxmlformats.org/officeDocument/2006/relationships/hyperlink" Target="https://www.rae-leeb.de/" TargetMode="External"/><Relationship Id="rId119" Type="http://schemas.openxmlformats.org/officeDocument/2006/relationships/hyperlink" Target="https://www.steuerberater-trapp.de/" TargetMode="External"/><Relationship Id="rId270" Type="http://schemas.openxmlformats.org/officeDocument/2006/relationships/hyperlink" Target="mailto:asgmuenchen@asg-steuerberater.de" TargetMode="External"/><Relationship Id="rId44" Type="http://schemas.openxmlformats.org/officeDocument/2006/relationships/hyperlink" Target="mailto:info@wernli-steuerberatung.de" TargetMode="External"/><Relationship Id="rId65" Type="http://schemas.openxmlformats.org/officeDocument/2006/relationships/hyperlink" Target="https://www.steuerkanzleibrehm.de/" TargetMode="External"/><Relationship Id="rId86" Type="http://schemas.openxmlformats.org/officeDocument/2006/relationships/hyperlink" Target="mailto:info@apriori-ra.de" TargetMode="External"/><Relationship Id="rId130" Type="http://schemas.openxmlformats.org/officeDocument/2006/relationships/hyperlink" Target="mailto:stuttgart@betzpartner.de" TargetMode="External"/><Relationship Id="rId151" Type="http://schemas.openxmlformats.org/officeDocument/2006/relationships/hyperlink" Target="https://stuttgart.city-advisor.de/longin-steuerberatung-gmbh-steuerberatungsgesellschaft-/" TargetMode="External"/><Relationship Id="rId172" Type="http://schemas.openxmlformats.org/officeDocument/2006/relationships/hyperlink" Target="mailto:kanzlei@ludwig-reichert.de" TargetMode="External"/><Relationship Id="rId193" Type="http://schemas.openxmlformats.org/officeDocument/2006/relationships/hyperlink" Target="https://www.taxvision.info/" TargetMode="External"/><Relationship Id="rId207" Type="http://schemas.openxmlformats.org/officeDocument/2006/relationships/hyperlink" Target="https://stb-hagemann.de/" TargetMode="External"/><Relationship Id="rId228" Type="http://schemas.openxmlformats.org/officeDocument/2006/relationships/hyperlink" Target="http://www.sielaff-stb.de/" TargetMode="External"/><Relationship Id="rId249" Type="http://schemas.openxmlformats.org/officeDocument/2006/relationships/hyperlink" Target="https://www.steuerberatung-krampitz.de/" TargetMode="External"/><Relationship Id="rId13" Type="http://schemas.openxmlformats.org/officeDocument/2006/relationships/hyperlink" Target="https://www.rechtsanwalt-witteck.de/" TargetMode="External"/><Relationship Id="rId109" Type="http://schemas.openxmlformats.org/officeDocument/2006/relationships/hyperlink" Target="https://www.langner-steuerberater.de/" TargetMode="External"/><Relationship Id="rId260" Type="http://schemas.openxmlformats.org/officeDocument/2006/relationships/hyperlink" Target="http://www.wistagonline.de/" TargetMode="External"/><Relationship Id="rId34" Type="http://schemas.openxmlformats.org/officeDocument/2006/relationships/hyperlink" Target="http://www.kanzlei-koerzinger.de/inhalt03.html" TargetMode="External"/><Relationship Id="rId55" Type="http://schemas.openxmlformats.org/officeDocument/2006/relationships/hyperlink" Target="https://ada-steuerberatung.de/" TargetMode="External"/><Relationship Id="rId76" Type="http://schemas.openxmlformats.org/officeDocument/2006/relationships/hyperlink" Target="https://www.thw-steuern.de/" TargetMode="External"/><Relationship Id="rId97" Type="http://schemas.openxmlformats.org/officeDocument/2006/relationships/hyperlink" Target="https://www.steuer-berater.de/frankfurt/dieter-bukowski-steuerberater-aUMF7H" TargetMode="External"/><Relationship Id="rId120" Type="http://schemas.openxmlformats.org/officeDocument/2006/relationships/hyperlink" Target="http://www.georg-anders.de/" TargetMode="External"/><Relationship Id="rId141" Type="http://schemas.openxmlformats.org/officeDocument/2006/relationships/hyperlink" Target="https://dein-neuer-steuerberater.de/" TargetMode="External"/><Relationship Id="rId7" Type="http://schemas.openxmlformats.org/officeDocument/2006/relationships/hyperlink" Target="https://www.kaupgoes.de/" TargetMode="External"/><Relationship Id="rId162" Type="http://schemas.openxmlformats.org/officeDocument/2006/relationships/hyperlink" Target="https://acta-stb.de/" TargetMode="External"/><Relationship Id="rId183" Type="http://schemas.openxmlformats.org/officeDocument/2006/relationships/hyperlink" Target="mailto:rolf.oehrler-ra@t-online.de" TargetMode="External"/><Relationship Id="rId218" Type="http://schemas.openxmlformats.org/officeDocument/2006/relationships/hyperlink" Target="https://www.enno-stb.de/" TargetMode="External"/><Relationship Id="rId239" Type="http://schemas.openxmlformats.org/officeDocument/2006/relationships/hyperlink" Target="mailto:a.weingartz@stb-weingartz.de" TargetMode="External"/><Relationship Id="rId250" Type="http://schemas.openxmlformats.org/officeDocument/2006/relationships/hyperlink" Target="https://www.hampe-stb.de/" TargetMode="External"/><Relationship Id="rId271" Type="http://schemas.openxmlformats.org/officeDocument/2006/relationships/vmlDrawing" Target="../drawings/vmlDrawing1.vml"/><Relationship Id="rId24" Type="http://schemas.openxmlformats.org/officeDocument/2006/relationships/hyperlink" Target="https://www.notaref15.de/formulare/kaufvertrag/" TargetMode="External"/><Relationship Id="rId45" Type="http://schemas.openxmlformats.org/officeDocument/2006/relationships/hyperlink" Target="http://wagner-stbkanzlei.de/" TargetMode="External"/><Relationship Id="rId66" Type="http://schemas.openxmlformats.org/officeDocument/2006/relationships/hyperlink" Target="mailto:kontakt@steuerkanzleibrehm.de" TargetMode="External"/><Relationship Id="rId87" Type="http://schemas.openxmlformats.org/officeDocument/2006/relationships/hyperlink" Target="https://scherf-steuerberatung.de/" TargetMode="External"/><Relationship Id="rId110" Type="http://schemas.openxmlformats.org/officeDocument/2006/relationships/hyperlink" Target="mailto:poststelle@langner-steuerberater.de" TargetMode="External"/><Relationship Id="rId131" Type="http://schemas.openxmlformats.org/officeDocument/2006/relationships/hyperlink" Target="http://b.sc/" TargetMode="External"/><Relationship Id="rId152" Type="http://schemas.openxmlformats.org/officeDocument/2006/relationships/hyperlink" Target="https://www.nestle-steuerberater.de/" TargetMode="External"/><Relationship Id="rId173" Type="http://schemas.openxmlformats.org/officeDocument/2006/relationships/hyperlink" Target="https://germanybizlist.de/12819975234618670669/" TargetMode="External"/><Relationship Id="rId194" Type="http://schemas.openxmlformats.org/officeDocument/2006/relationships/hyperlink" Target="https://catrin-seel-steuerberatung.de/" TargetMode="External"/><Relationship Id="rId208" Type="http://schemas.openxmlformats.org/officeDocument/2006/relationships/hyperlink" Target="https://www.facebook.com/eknoerrsteuerberatung" TargetMode="External"/><Relationship Id="rId229" Type="http://schemas.openxmlformats.org/officeDocument/2006/relationships/hyperlink" Target="https://www.graap-osthof.de/" TargetMode="External"/><Relationship Id="rId240" Type="http://schemas.openxmlformats.org/officeDocument/2006/relationships/hyperlink" Target="https://www.tewes-stb.de/" TargetMode="External"/><Relationship Id="rId261" Type="http://schemas.openxmlformats.org/officeDocument/2006/relationships/hyperlink" Target="mailto:info@wistagonline.de" TargetMode="External"/><Relationship Id="rId14" Type="http://schemas.openxmlformats.org/officeDocument/2006/relationships/hyperlink" Target="https://kade-kade.de/" TargetMode="External"/><Relationship Id="rId35" Type="http://schemas.openxmlformats.org/officeDocument/2006/relationships/hyperlink" Target="https://maintaunusimmobilien.com/luxus-immobilien/" TargetMode="External"/><Relationship Id="rId56" Type="http://schemas.openxmlformats.org/officeDocument/2006/relationships/hyperlink" Target="about:blank" TargetMode="External"/><Relationship Id="rId77" Type="http://schemas.openxmlformats.org/officeDocument/2006/relationships/hyperlink" Target="mailto:info@thw-steuern.de" TargetMode="External"/><Relationship Id="rId100" Type="http://schemas.openxmlformats.org/officeDocument/2006/relationships/hyperlink" Target="https://metpa.de/impressum-datenschutz/" TargetMode="External"/><Relationship Id="rId8" Type="http://schemas.openxmlformats.org/officeDocument/2006/relationships/hyperlink" Target="https://www.meineanwaeltin.de/" TargetMode="External"/><Relationship Id="rId98" Type="http://schemas.openxmlformats.org/officeDocument/2006/relationships/hyperlink" Target="https://triebelundtriebel.de/die-kanzlei2/kontakt/" TargetMode="External"/><Relationship Id="rId121" Type="http://schemas.openxmlformats.org/officeDocument/2006/relationships/hyperlink" Target="mailto:info@georg-anders.de" TargetMode="External"/><Relationship Id="rId142" Type="http://schemas.openxmlformats.org/officeDocument/2006/relationships/hyperlink" Target="https://www.kwpartner-steuerberater.de/index.html/impressum/" TargetMode="External"/><Relationship Id="rId163" Type="http://schemas.openxmlformats.org/officeDocument/2006/relationships/hyperlink" Target="https://schellerhoff-steuern.de/" TargetMode="External"/><Relationship Id="rId184" Type="http://schemas.openxmlformats.org/officeDocument/2006/relationships/hyperlink" Target="https://www.steuerkanzlei-bauer.de/" TargetMode="External"/><Relationship Id="rId219" Type="http://schemas.openxmlformats.org/officeDocument/2006/relationships/hyperlink" Target="https://www.bing.com/alink/link?url=https%3a%2f%2fwww.weber-partner.net%2f&amp;source=serp-local&amp;h=y9hCHzSq1kaB32MwClx1FLrxFDa2SERvmEFanQ577Ng%3d&amp;p=lw_magsmlt&amp;ig=50484D9A1A5C4184AEB61108D904E173&amp;ypid=YNCF9609E32A242A09" TargetMode="External"/><Relationship Id="rId230" Type="http://schemas.openxmlformats.org/officeDocument/2006/relationships/hyperlink" Target="https://www.bing.com/alink/link?url=https%3a%2f%2fstb-grimm-koritzius.de%2f&amp;source=serp-local&amp;h=6U%2bTa27YuDH1FfaDnpXzg6raxNgoOTD9rPcM3dKoZVg%3d&amp;p=lw_magsmlt&amp;ig=5506DD23EC364961B075EAEC1BD1A953&amp;ypid=YNAA749450E06B1CA4" TargetMode="External"/><Relationship Id="rId251" Type="http://schemas.openxmlformats.org/officeDocument/2006/relationships/hyperlink" Target="https://www.deinesteuerkanzlei.de/" TargetMode="External"/><Relationship Id="rId25" Type="http://schemas.openxmlformats.org/officeDocument/2006/relationships/hyperlink" Target="https://www.rechtsanwalt-lenzen.de/" TargetMode="External"/><Relationship Id="rId46" Type="http://schemas.openxmlformats.org/officeDocument/2006/relationships/hyperlink" Target="https://heim-honermeier.de/" TargetMode="External"/><Relationship Id="rId67" Type="http://schemas.openxmlformats.org/officeDocument/2006/relationships/hyperlink" Target="https://www.stb-halbow.de/" TargetMode="External"/><Relationship Id="rId272" Type="http://schemas.openxmlformats.org/officeDocument/2006/relationships/table" Target="../tables/table1.xml"/><Relationship Id="rId88" Type="http://schemas.openxmlformats.org/officeDocument/2006/relationships/hyperlink" Target="https://www.smartexperts.de/suche/searchdetail/steuerberater-dal-magro/2068206?from=portal" TargetMode="External"/><Relationship Id="rId111" Type="http://schemas.openxmlformats.org/officeDocument/2006/relationships/hyperlink" Target="https://www.steuerberater-drechsel.de/" TargetMode="External"/><Relationship Id="rId132" Type="http://schemas.openxmlformats.org/officeDocument/2006/relationships/hyperlink" Target="https://soovary.tax/leistungen" TargetMode="External"/><Relationship Id="rId153" Type="http://schemas.openxmlformats.org/officeDocument/2006/relationships/hyperlink" Target="mailto:kanzlei@nestle-steuerberater.de" TargetMode="External"/><Relationship Id="rId174" Type="http://schemas.openxmlformats.org/officeDocument/2006/relationships/hyperlink" Target="https://www.schneider-zajontz.de/" TargetMode="External"/><Relationship Id="rId195" Type="http://schemas.openxmlformats.org/officeDocument/2006/relationships/hyperlink" Target="http://www.steuerkanzlei-brunner.de/" TargetMode="External"/><Relationship Id="rId209" Type="http://schemas.openxmlformats.org/officeDocument/2006/relationships/hyperlink" Target="https://www.steuerkanzleispecht.de/" TargetMode="External"/><Relationship Id="rId220" Type="http://schemas.openxmlformats.org/officeDocument/2006/relationships/hyperlink" Target="https://www.weber-partner.net/" TargetMode="External"/><Relationship Id="rId241" Type="http://schemas.openxmlformats.org/officeDocument/2006/relationships/hyperlink" Target="mailto:tewes.StB@t-online.de" TargetMode="External"/><Relationship Id="rId15" Type="http://schemas.openxmlformats.org/officeDocument/2006/relationships/hyperlink" Target="https://www.rae-aschaffenburg.de/?c=startseite" TargetMode="External"/><Relationship Id="rId36" Type="http://schemas.openxmlformats.org/officeDocument/2006/relationships/hyperlink" Target="https://www.ihre-hausverwaltung-kern.de/" TargetMode="External"/><Relationship Id="rId57" Type="http://schemas.openxmlformats.org/officeDocument/2006/relationships/hyperlink" Target="https://www.becker-frankfurt.de/" TargetMode="External"/><Relationship Id="rId262" Type="http://schemas.openxmlformats.org/officeDocument/2006/relationships/hyperlink" Target="https://www.altbayerischer.de/lohnsteuerhilfe/bonnemann-dortmund-brackel/" TargetMode="External"/><Relationship Id="rId78" Type="http://schemas.openxmlformats.org/officeDocument/2006/relationships/hyperlink" Target="https://www.muellergross.de/de" TargetMode="External"/><Relationship Id="rId99" Type="http://schemas.openxmlformats.org/officeDocument/2006/relationships/hyperlink" Target="mailto:info@raetriebel.com" TargetMode="External"/><Relationship Id="rId101" Type="http://schemas.openxmlformats.org/officeDocument/2006/relationships/hyperlink" Target="mailto:info@metpa.de" TargetMode="External"/><Relationship Id="rId122" Type="http://schemas.openxmlformats.org/officeDocument/2006/relationships/hyperlink" Target="https://www.steuerberaterin-siewert.de/impressum.html" TargetMode="External"/><Relationship Id="rId143" Type="http://schemas.openxmlformats.org/officeDocument/2006/relationships/hyperlink" Target="https://zantke.de/" TargetMode="External"/><Relationship Id="rId164" Type="http://schemas.openxmlformats.org/officeDocument/2006/relationships/hyperlink" Target="http://www.silke-hekler.de/" TargetMode="External"/><Relationship Id="rId185" Type="http://schemas.openxmlformats.org/officeDocument/2006/relationships/hyperlink" Target="http://571124758.swh.strato-hosting.eu/" TargetMode="External"/><Relationship Id="rId9" Type="http://schemas.openxmlformats.org/officeDocument/2006/relationships/hyperlink" Target="https://www.rechtsanwaelte-ab.de/" TargetMode="External"/><Relationship Id="rId210" Type="http://schemas.openxmlformats.org/officeDocument/2006/relationships/hyperlink" Target="https://www.heid-steuerberatung.de/" TargetMode="External"/><Relationship Id="rId26" Type="http://schemas.openxmlformats.org/officeDocument/2006/relationships/hyperlink" Target="https://rae-koos.de/" TargetMode="External"/><Relationship Id="rId231" Type="http://schemas.openxmlformats.org/officeDocument/2006/relationships/hyperlink" Target="https://stb-grimm-koritzius.de/" TargetMode="External"/><Relationship Id="rId252" Type="http://schemas.openxmlformats.org/officeDocument/2006/relationships/hyperlink" Target="https://www.adrianesok-stb.de/" TargetMode="External"/><Relationship Id="rId273" Type="http://schemas.openxmlformats.org/officeDocument/2006/relationships/comments" Target="../comments1.xml"/><Relationship Id="rId47" Type="http://schemas.openxmlformats.org/officeDocument/2006/relationships/hyperlink" Target="https://www.zoia-steuerberater.de/" TargetMode="External"/><Relationship Id="rId68" Type="http://schemas.openxmlformats.org/officeDocument/2006/relationships/hyperlink" Target="https://www.hummel-stb.de/" TargetMode="External"/><Relationship Id="rId89" Type="http://schemas.openxmlformats.org/officeDocument/2006/relationships/hyperlink" Target="https://www.steuerkanzlei-martin-mueller.de/" TargetMode="External"/><Relationship Id="rId112" Type="http://schemas.openxmlformats.org/officeDocument/2006/relationships/hyperlink" Target="mailto:kontakt@steuerberater-drechsel.de" TargetMode="External"/><Relationship Id="rId133" Type="http://schemas.openxmlformats.org/officeDocument/2006/relationships/hyperlink" Target="http://ekrueger.de/impressum" TargetMode="External"/><Relationship Id="rId154" Type="http://schemas.openxmlformats.org/officeDocument/2006/relationships/hyperlink" Target="http://www.o3-steuerberater.de/impressum" TargetMode="External"/><Relationship Id="rId175" Type="http://schemas.openxmlformats.org/officeDocument/2006/relationships/hyperlink" Target="https://roith-steuerberater.de/" TargetMode="External"/><Relationship Id="rId196" Type="http://schemas.openxmlformats.org/officeDocument/2006/relationships/hyperlink" Target="https://kanzlei-albig.de/" TargetMode="External"/><Relationship Id="rId200" Type="http://schemas.openxmlformats.org/officeDocument/2006/relationships/hyperlink" Target="mailto:info@rademacher-kanzlei.de" TargetMode="External"/><Relationship Id="rId16" Type="http://schemas.openxmlformats.org/officeDocument/2006/relationships/hyperlink" Target="https://www.kanzlei-bernhard-und-neumeier.de/%C3%BCber-die-kanzleien/udo-neumeier/" TargetMode="External"/><Relationship Id="rId221" Type="http://schemas.openxmlformats.org/officeDocument/2006/relationships/hyperlink" Target="https://www.steuerberater-mueller-do.de/" TargetMode="External"/><Relationship Id="rId242" Type="http://schemas.openxmlformats.org/officeDocument/2006/relationships/hyperlink" Target="https://www.bing.com/alink/link?url=http%3a%2f%2fstb-wechsel.de%2f&amp;source=serp-local&amp;h=3j7B8vtVgKRXU6Zo3UdeGI0hu7xx9QubTlQ%2br7k58vE%3d&amp;p=lw_magsmlt&amp;ig=848E5F51F33A4480ACF637EA7ECCB7EA&amp;ypid=YNDB21FC55B5AE6303" TargetMode="External"/><Relationship Id="rId263" Type="http://schemas.openxmlformats.org/officeDocument/2006/relationships/hyperlink" Target="mailto:bonnemann@altbayerischer.de" TargetMode="External"/><Relationship Id="rId37" Type="http://schemas.openxmlformats.org/officeDocument/2006/relationships/hyperlink" Target="https://v-m-p.com/" TargetMode="External"/><Relationship Id="rId58" Type="http://schemas.openxmlformats.org/officeDocument/2006/relationships/hyperlink" Target="https://steuerberater-tipps.de/steuerberater/Frankfurt-am-Main/Hellwig-Kuhn-Roth-Steuerberater" TargetMode="External"/><Relationship Id="rId79" Type="http://schemas.openxmlformats.org/officeDocument/2006/relationships/hyperlink" Target="mailto:info@muellergross.de" TargetMode="External"/><Relationship Id="rId102" Type="http://schemas.openxmlformats.org/officeDocument/2006/relationships/hyperlink" Target="https://web2.cylex.de/firma-home/henning-fritz-dipl--kfm--steuerberater--wirtschaftspruefer-1100837.html" TargetMode="External"/><Relationship Id="rId123" Type="http://schemas.openxmlformats.org/officeDocument/2006/relationships/hyperlink" Target="https://www.steuerberaterin-siewert.de/kontaktform.php" TargetMode="External"/><Relationship Id="rId144" Type="http://schemas.openxmlformats.org/officeDocument/2006/relationships/hyperlink" Target="https://buerkner-steuerberatung.de/" TargetMode="External"/><Relationship Id="rId90" Type="http://schemas.openxmlformats.org/officeDocument/2006/relationships/hyperlink" Target="https://www.steuerberatung-leymann.de/" TargetMode="External"/><Relationship Id="rId165" Type="http://schemas.openxmlformats.org/officeDocument/2006/relationships/hyperlink" Target="https://www.stb-harasko.de/" TargetMode="External"/><Relationship Id="rId186" Type="http://schemas.openxmlformats.org/officeDocument/2006/relationships/hyperlink" Target="https://www.bing.com/alink/link?url=https%3a%2f%2fwww.puschner-steuerberatung.de%2f&amp;source=serp-local&amp;h=OOvx2M4aDIILaLebt84HjpR2cwhq4M%2fLF6cf6pnqjTI%3d&amp;p=lw_magsmlt&amp;ig=E49939D2865740B49D8B291D10F43D6A&amp;ypid=YN294E14D70B906D21" TargetMode="External"/><Relationship Id="rId211" Type="http://schemas.openxmlformats.org/officeDocument/2006/relationships/hyperlink" Target="mailto:info@heid-steuerberatung.de" TargetMode="External"/><Relationship Id="rId232" Type="http://schemas.openxmlformats.org/officeDocument/2006/relationships/hyperlink" Target="https://www.bing.com/alink/link?url=https%3a%2f%2fwww.steuerberater-klemme.de%2f&amp;source=serp-local&amp;h=LrsN56f0PAzITjOnshcFGTkI0tnPFs8jktr6jUMC74Y%3d&amp;p=lw_magsmlt&amp;ig=10CD4144D09A485C9682F3833E1087CD&amp;ypid=YNAAFCE6294F132AE7" TargetMode="External"/><Relationship Id="rId253" Type="http://schemas.openxmlformats.org/officeDocument/2006/relationships/hyperlink" Target="https://stb-schrade.de/" TargetMode="External"/><Relationship Id="rId27" Type="http://schemas.openxmlformats.org/officeDocument/2006/relationships/hyperlink" Target="https://www.drhaecker.de/" TargetMode="External"/><Relationship Id="rId48" Type="http://schemas.openxmlformats.org/officeDocument/2006/relationships/hyperlink" Target="mailto:%20info@zoia-steuerberater.de" TargetMode="External"/><Relationship Id="rId69" Type="http://schemas.openxmlformats.org/officeDocument/2006/relationships/hyperlink" Target="http://www.steuerbuero-junghans.de/" TargetMode="External"/><Relationship Id="rId113" Type="http://schemas.openxmlformats.org/officeDocument/2006/relationships/hyperlink" Target="https://www.rsiegle.com/" TargetMode="External"/><Relationship Id="rId134" Type="http://schemas.openxmlformats.org/officeDocument/2006/relationships/hyperlink" Target="http://www.stbin-graeter.de/" TargetMode="External"/><Relationship Id="rId80" Type="http://schemas.openxmlformats.org/officeDocument/2006/relationships/hyperlink" Target="https://www.steuerberater-marinov.de/" TargetMode="External"/><Relationship Id="rId155" Type="http://schemas.openxmlformats.org/officeDocument/2006/relationships/hyperlink" Target="mailto:info@o3-steuerberater.de" TargetMode="External"/><Relationship Id="rId176" Type="http://schemas.openxmlformats.org/officeDocument/2006/relationships/hyperlink" Target="https://www.bing.com/alink/link?url=http%3a%2f%2fwww.steuerberater-andreas-weil.de%2f&amp;source=serp-local&amp;h=KtOv476pCnyKlbCSoGhJWVVnWpvEcy08PgzWVU0ahd0%3d&amp;p=lw_magsmlt&amp;ig=01B91F048B1A4369B7981194F3A78F29&amp;ypid=YN73B9CF3B769D5347" TargetMode="External"/><Relationship Id="rId197" Type="http://schemas.openxmlformats.org/officeDocument/2006/relationships/hyperlink" Target="http://susanne-boas.de/5.html" TargetMode="External"/><Relationship Id="rId201" Type="http://schemas.openxmlformats.org/officeDocument/2006/relationships/hyperlink" Target="https://www.stk-gutmann.de/" TargetMode="External"/><Relationship Id="rId222" Type="http://schemas.openxmlformats.org/officeDocument/2006/relationships/hyperlink" Target="https://www.bing.com/alink/link?url=http%3a%2f%2fwww.steuerberatung-heinke.de%2f&amp;source=serp-local&amp;h=Qax4qS2TRcfD1QR55KuFfBJAjiNlon5yOgiLBiC6jaA%3d&amp;p=lw_magsmlt&amp;ig=8F2E403ED3144883B0EA4C4AC8A8EC0F&amp;ypid=YN62B7A3B5C9295CFD" TargetMode="External"/><Relationship Id="rId243" Type="http://schemas.openxmlformats.org/officeDocument/2006/relationships/hyperlink" Target="http://stb-wechsel.de/index.html" TargetMode="External"/><Relationship Id="rId264" Type="http://schemas.openxmlformats.org/officeDocument/2006/relationships/hyperlink" Target="http://www.steuerberatung-schoenfelder.de/016.html" TargetMode="External"/><Relationship Id="rId17" Type="http://schemas.openxmlformats.org/officeDocument/2006/relationships/hyperlink" Target="https://www.anwalts-mediatorin.de/" TargetMode="External"/><Relationship Id="rId38" Type="http://schemas.openxmlformats.org/officeDocument/2006/relationships/hyperlink" Target="https://www.annette-laehn.de/" TargetMode="External"/><Relationship Id="rId59" Type="http://schemas.openxmlformats.org/officeDocument/2006/relationships/hyperlink" Target="https://www.fsu-frankfurt.de/" TargetMode="External"/><Relationship Id="rId103" Type="http://schemas.openxmlformats.org/officeDocument/2006/relationships/hyperlink" Target="https://www.christ-steuerberatung.de/impressum/" TargetMode="External"/><Relationship Id="rId124" Type="http://schemas.openxmlformats.org/officeDocument/2006/relationships/hyperlink" Target="https://steuerberater-tipps.de/steuerberater/Stuttgart/Kwapisz-Joachim-Steuerberater" TargetMode="External"/><Relationship Id="rId70" Type="http://schemas.openxmlformats.org/officeDocument/2006/relationships/hyperlink" Target="http://www.krebsundpawlik.de/" TargetMode="External"/><Relationship Id="rId91" Type="http://schemas.openxmlformats.org/officeDocument/2006/relationships/hyperlink" Target="https://www.steuerberater-torlakovic.de/" TargetMode="External"/><Relationship Id="rId145" Type="http://schemas.openxmlformats.org/officeDocument/2006/relationships/hyperlink" Target="https://www.grafkanitz.com/standorte/stuttgart/" TargetMode="External"/><Relationship Id="rId166" Type="http://schemas.openxmlformats.org/officeDocument/2006/relationships/hyperlink" Target="https://www.steuer-wick.de/" TargetMode="External"/><Relationship Id="rId187" Type="http://schemas.openxmlformats.org/officeDocument/2006/relationships/hyperlink" Target="https://www.puschner-steuerberatung.de/" TargetMode="External"/><Relationship Id="rId1" Type="http://schemas.openxmlformats.org/officeDocument/2006/relationships/hyperlink" Target="https://www.muellerundpartner.de/was/coaching" TargetMode="External"/><Relationship Id="rId212" Type="http://schemas.openxmlformats.org/officeDocument/2006/relationships/hyperlink" Target="http://www.steuerkanzlei-jandl.de/" TargetMode="External"/><Relationship Id="rId233" Type="http://schemas.openxmlformats.org/officeDocument/2006/relationships/hyperlink" Target="https://www.steuerberater-klemme.de/" TargetMode="External"/><Relationship Id="rId254" Type="http://schemas.openxmlformats.org/officeDocument/2006/relationships/hyperlink" Target="mailto:kontakt@stb-schrade.de" TargetMode="External"/><Relationship Id="rId28" Type="http://schemas.openxmlformats.org/officeDocument/2006/relationships/hyperlink" Target="https://www.glueckalexander.de/" TargetMode="External"/><Relationship Id="rId49" Type="http://schemas.openxmlformats.org/officeDocument/2006/relationships/hyperlink" Target="https://www.steuerberater-rudy.de/" TargetMode="External"/><Relationship Id="rId114" Type="http://schemas.openxmlformats.org/officeDocument/2006/relationships/hyperlink" Target="mailto:mail@rsiegle.com" TargetMode="External"/><Relationship Id="rId60" Type="http://schemas.openxmlformats.org/officeDocument/2006/relationships/hyperlink" Target="mailto:info@fsu-frankfurt.de" TargetMode="External"/><Relationship Id="rId81" Type="http://schemas.openxmlformats.org/officeDocument/2006/relationships/hyperlink" Target="mailto:info@steuerberater-marinov.de" TargetMode="External"/><Relationship Id="rId135" Type="http://schemas.openxmlformats.org/officeDocument/2006/relationships/hyperlink" Target="https://marc-henning.jimdofree.com/about/" TargetMode="External"/><Relationship Id="rId156" Type="http://schemas.openxmlformats.org/officeDocument/2006/relationships/hyperlink" Target="https://www.ps-ws.de/" TargetMode="External"/><Relationship Id="rId177" Type="http://schemas.openxmlformats.org/officeDocument/2006/relationships/hyperlink" Target="https://www.bing.com/alink/link?url=http%3a%2f%2fwww.steuerberater-andreas-weil.de%2f&amp;source=serp-local&amp;h=KtOv476pCnyKlbCSoGhJWVVnWpvEcy08PgzWVU0ahd0%3d&amp;p=lw_magsmlt&amp;ig=01B91F048B1A4369B7981194F3A78F29&amp;ypid=YN73B9CF3B769D5347" TargetMode="External"/><Relationship Id="rId198" Type="http://schemas.openxmlformats.org/officeDocument/2006/relationships/hyperlink" Target="mailto:s.boas@susanne-boas.de" TargetMode="External"/><Relationship Id="rId202" Type="http://schemas.openxmlformats.org/officeDocument/2006/relationships/hyperlink" Target="http://steuerberater-goegelein.de/" TargetMode="External"/><Relationship Id="rId223" Type="http://schemas.openxmlformats.org/officeDocument/2006/relationships/hyperlink" Target="https://www.steuerberatung-heinke.de/" TargetMode="External"/><Relationship Id="rId244" Type="http://schemas.openxmlformats.org/officeDocument/2006/relationships/hyperlink" Target="mailto:info@stb-wechsel.de" TargetMode="External"/><Relationship Id="rId18" Type="http://schemas.openxmlformats.org/officeDocument/2006/relationships/hyperlink" Target="https://www.az-kanzlei.de/" TargetMode="External"/><Relationship Id="rId39" Type="http://schemas.openxmlformats.org/officeDocument/2006/relationships/hyperlink" Target="https://hofmannfertig.com/" TargetMode="External"/><Relationship Id="rId265" Type="http://schemas.openxmlformats.org/officeDocument/2006/relationships/hyperlink" Target="https://www.11880.com/branchenbuch/dortmund/081645047B100461570/alfred-pake-steuerberatung.html" TargetMode="External"/><Relationship Id="rId50" Type="http://schemas.openxmlformats.org/officeDocument/2006/relationships/hyperlink" Target="https://www.stbboller.de/" TargetMode="External"/><Relationship Id="rId104" Type="http://schemas.openxmlformats.org/officeDocument/2006/relationships/hyperlink" Target="mailto:Info@christ-co.de" TargetMode="External"/><Relationship Id="rId125" Type="http://schemas.openxmlformats.org/officeDocument/2006/relationships/hyperlink" Target="https://www.stbvw-bw.de/Impressum.html" TargetMode="External"/><Relationship Id="rId146" Type="http://schemas.openxmlformats.org/officeDocument/2006/relationships/hyperlink" Target="https://www.steuerberater-in-stuttgart.net/" TargetMode="External"/><Relationship Id="rId167" Type="http://schemas.openxmlformats.org/officeDocument/2006/relationships/hyperlink" Target="https://www.steuerring.de/impressum.html" TargetMode="External"/><Relationship Id="rId188" Type="http://schemas.openxmlformats.org/officeDocument/2006/relationships/hyperlink" Target="mailto:info@puschner-stb.de" TargetMode="External"/><Relationship Id="rId71" Type="http://schemas.openxmlformats.org/officeDocument/2006/relationships/hyperlink" Target="https://www.steuerberater-wichert.de/" TargetMode="External"/><Relationship Id="rId92" Type="http://schemas.openxmlformats.org/officeDocument/2006/relationships/hyperlink" Target="https://www.jb-steuerberater.de/" TargetMode="External"/><Relationship Id="rId213" Type="http://schemas.openxmlformats.org/officeDocument/2006/relationships/hyperlink" Target="https://walter-kohler.de/" TargetMode="External"/><Relationship Id="rId234" Type="http://schemas.openxmlformats.org/officeDocument/2006/relationships/hyperlink" Target="mailto:info@steuerberater-klemme.de" TargetMode="External"/><Relationship Id="rId2" Type="http://schemas.openxmlformats.org/officeDocument/2006/relationships/hyperlink" Target="https://coaching-keller.de/persoenliches-coaching/" TargetMode="External"/><Relationship Id="rId29" Type="http://schemas.openxmlformats.org/officeDocument/2006/relationships/hyperlink" Target="https://www.anwalt-strafrecht.com/kontakt-fachanwalt-strafrecht-aschaffenburg" TargetMode="External"/><Relationship Id="rId255" Type="http://schemas.openxmlformats.org/officeDocument/2006/relationships/hyperlink" Target="http://www.flore-do.eu/" TargetMode="External"/><Relationship Id="rId40" Type="http://schemas.openxmlformats.org/officeDocument/2006/relationships/hyperlink" Target="mailto:info@hofmannfertig.com" TargetMode="External"/><Relationship Id="rId115" Type="http://schemas.openxmlformats.org/officeDocument/2006/relationships/hyperlink" Target="https://www.stb-hetzinger.de/" TargetMode="External"/><Relationship Id="rId136" Type="http://schemas.openxmlformats.org/officeDocument/2006/relationships/hyperlink" Target="mailto:info@mhp-stuttgart-mitte.de" TargetMode="External"/><Relationship Id="rId157" Type="http://schemas.openxmlformats.org/officeDocument/2006/relationships/hyperlink" Target="https://thiemt-stb.de/" TargetMode="External"/><Relationship Id="rId178" Type="http://schemas.openxmlformats.org/officeDocument/2006/relationships/hyperlink" Target="https://www.sander-recht.de/" TargetMode="External"/><Relationship Id="rId61" Type="http://schemas.openxmlformats.org/officeDocument/2006/relationships/hyperlink" Target="http://happ-steuerberatung.de/" TargetMode="External"/><Relationship Id="rId82" Type="http://schemas.openxmlformats.org/officeDocument/2006/relationships/hyperlink" Target="https://web2.cylex.de/firma-home/paul-weber-steuerberater-7129683.html" TargetMode="External"/><Relationship Id="rId199" Type="http://schemas.openxmlformats.org/officeDocument/2006/relationships/hyperlink" Target="https://www.rademacher-kanzlei.de/" TargetMode="External"/><Relationship Id="rId203" Type="http://schemas.openxmlformats.org/officeDocument/2006/relationships/hyperlink" Target="http://www.steuerkanzlei-zwingel.de/" TargetMode="External"/><Relationship Id="rId19" Type="http://schemas.openxmlformats.org/officeDocument/2006/relationships/hyperlink" Target="https://www.anwalt-jenny.de/" TargetMode="External"/><Relationship Id="rId224" Type="http://schemas.openxmlformats.org/officeDocument/2006/relationships/hyperlink" Target="about:blank" TargetMode="External"/><Relationship Id="rId245" Type="http://schemas.openxmlformats.org/officeDocument/2006/relationships/hyperlink" Target="https://www.bing.com/alink/link?url=http%3a%2f%2fwww.stb-dortmund.de%2f&amp;source=serp-local&amp;h=H%2fMBM5wyKSJYSNhMg91%2f18WrS3OsBKiMVmNMUouafTg%3d&amp;p=lw_magsmlt&amp;ig=E8BF9646D8F947E78C18742C62521665&amp;ypid=YNA6DB8C1D7FDA1D00" TargetMode="External"/><Relationship Id="rId266" Type="http://schemas.openxmlformats.org/officeDocument/2006/relationships/hyperlink" Target="mailto:pake.alfred@t-online.de?subject=Anfrage%20%C3%BCber%2011880.com" TargetMode="External"/><Relationship Id="rId30" Type="http://schemas.openxmlformats.org/officeDocument/2006/relationships/hyperlink" Target="http://www.kanzleirath.de/" TargetMode="External"/><Relationship Id="rId105" Type="http://schemas.openxmlformats.org/officeDocument/2006/relationships/hyperlink" Target="https://www.ebnerstolz.de/de/" TargetMode="External"/><Relationship Id="rId126" Type="http://schemas.openxmlformats.org/officeDocument/2006/relationships/hyperlink" Target="mailto:service@stbvw-bw.de" TargetMode="External"/><Relationship Id="rId147" Type="http://schemas.openxmlformats.org/officeDocument/2006/relationships/hyperlink" Target="http://co.kg/" TargetMode="External"/><Relationship Id="rId168" Type="http://schemas.openxmlformats.org/officeDocument/2006/relationships/hyperlink" Target="https://www.steuerring.de/impressum.html" TargetMode="External"/><Relationship Id="rId51" Type="http://schemas.openxmlformats.org/officeDocument/2006/relationships/hyperlink" Target="mailto:michael.boller@stbboller.de" TargetMode="External"/><Relationship Id="rId72" Type="http://schemas.openxmlformats.org/officeDocument/2006/relationships/hyperlink" Target="mailto:info@steuerberater-wichert.de" TargetMode="External"/><Relationship Id="rId93" Type="http://schemas.openxmlformats.org/officeDocument/2006/relationships/hyperlink" Target="mailto:info@jb-steuerberater.de" TargetMode="External"/><Relationship Id="rId189" Type="http://schemas.openxmlformats.org/officeDocument/2006/relationships/hyperlink" Target="https://www.bing.com/alink/link?url=http%3a%2f%2fwww.ramstoeck.de%2f&amp;source=serp-local&amp;h=XQhfBHyOu6%2fr%2fETSM1YEGcWoIWFTeZ3W%2f1iSJa006JM%3d&amp;p=lw_magsmlt&amp;ig=354CE22160864649B4E37D6BEDEDD120&amp;ypid=YN1384562DE1345E97" TargetMode="External"/><Relationship Id="rId3" Type="http://schemas.openxmlformats.org/officeDocument/2006/relationships/hyperlink" Target="https://www.kanzlei-hoffmann.de/" TargetMode="External"/><Relationship Id="rId214" Type="http://schemas.openxmlformats.org/officeDocument/2006/relationships/hyperlink" Target="mailto:info@walter-kohler.de" TargetMode="External"/><Relationship Id="rId235" Type="http://schemas.openxmlformats.org/officeDocument/2006/relationships/hyperlink" Target="https://www.bing.com/alink/link?url=http%3a%2f%2fwww.steuerberater-witte.de%2f&amp;source=serp-local&amp;h=CsX%2fB5FJt04%2f7KttwXbqDeZyYjUPL6IMJjRh7juoMJw%3d&amp;p=lw_magsmlt&amp;ig=FA84411CD4114EF8AE71A8498BE75DB1&amp;ypid=YN2693082A2CAF1FEC" TargetMode="External"/><Relationship Id="rId256" Type="http://schemas.openxmlformats.org/officeDocument/2006/relationships/hyperlink" Target="mailto:flore@flore-do.eu" TargetMode="External"/><Relationship Id="rId116" Type="http://schemas.openxmlformats.org/officeDocument/2006/relationships/hyperlink" Target="mailto:info@stb-hetzinger.de" TargetMode="External"/><Relationship Id="rId137" Type="http://schemas.openxmlformats.org/officeDocument/2006/relationships/hyperlink" Target="https://www.schmutz-steuerberatung.de/" TargetMode="External"/><Relationship Id="rId158" Type="http://schemas.openxmlformats.org/officeDocument/2006/relationships/hyperlink" Target="https://www.steuerberater-foernzler.de/" TargetMode="External"/><Relationship Id="rId20" Type="http://schemas.openxmlformats.org/officeDocument/2006/relationships/hyperlink" Target="https://www.anwaltskanzlei-ssa.de/" TargetMode="External"/><Relationship Id="rId41" Type="http://schemas.openxmlformats.org/officeDocument/2006/relationships/hyperlink" Target="https://www.luebeckonline.com/" TargetMode="External"/><Relationship Id="rId62" Type="http://schemas.openxmlformats.org/officeDocument/2006/relationships/hyperlink" Target="https://athena-steuerberatung.de/" TargetMode="External"/><Relationship Id="rId83" Type="http://schemas.openxmlformats.org/officeDocument/2006/relationships/hyperlink" Target="https://www.teslegal.de/" TargetMode="External"/><Relationship Id="rId179" Type="http://schemas.openxmlformats.org/officeDocument/2006/relationships/hyperlink" Target="https://www.diebestenderstadt.de/heilbronn/ralf-antoni-dipl-betriebswirt-steuerberatung-hn0dl0stbrwo" TargetMode="External"/><Relationship Id="rId190" Type="http://schemas.openxmlformats.org/officeDocument/2006/relationships/hyperlink" Target="http://571126679.swh.strato-hosting.eu/" TargetMode="External"/><Relationship Id="rId204" Type="http://schemas.openxmlformats.org/officeDocument/2006/relationships/hyperlink" Target="https://www.muehring-de.com/" TargetMode="External"/><Relationship Id="rId225" Type="http://schemas.openxmlformats.org/officeDocument/2006/relationships/hyperlink" Target="https://www.steuerberater-schoebel.de/" TargetMode="External"/><Relationship Id="rId246" Type="http://schemas.openxmlformats.org/officeDocument/2006/relationships/hyperlink" Target="https://stb-dortmund.de/" TargetMode="External"/><Relationship Id="rId267" Type="http://schemas.openxmlformats.org/officeDocument/2006/relationships/hyperlink" Target="https://www.ruehlemann.de/content/inhalte/impressum/index.html" TargetMode="External"/><Relationship Id="rId106" Type="http://schemas.openxmlformats.org/officeDocument/2006/relationships/hyperlink" Target="https://www.vaih.de/" TargetMode="External"/><Relationship Id="rId127" Type="http://schemas.openxmlformats.org/officeDocument/2006/relationships/hyperlink" Target="https://sauersteuer.de/impressum/" TargetMode="External"/><Relationship Id="rId10" Type="http://schemas.openxmlformats.org/officeDocument/2006/relationships/hyperlink" Target="https://www.kanzlei-pfad.de/" TargetMode="External"/><Relationship Id="rId31" Type="http://schemas.openxmlformats.org/officeDocument/2006/relationships/hyperlink" Target="http://www.rechtsanwalt-schmitt.com/" TargetMode="External"/><Relationship Id="rId52" Type="http://schemas.openxmlformats.org/officeDocument/2006/relationships/hyperlink" Target="https://www.stb-peseschkian.de/" TargetMode="External"/><Relationship Id="rId73" Type="http://schemas.openxmlformats.org/officeDocument/2006/relationships/hyperlink" Target="https://www.steuerberatung-kuntschke.de/" TargetMode="External"/><Relationship Id="rId94" Type="http://schemas.openxmlformats.org/officeDocument/2006/relationships/hyperlink" Target="https://www.steuerberater-frankfurt-bieber.de/" TargetMode="External"/><Relationship Id="rId148" Type="http://schemas.openxmlformats.org/officeDocument/2006/relationships/hyperlink" Target="http://www.wolfsteuer.de/index.php" TargetMode="External"/><Relationship Id="rId169" Type="http://schemas.openxmlformats.org/officeDocument/2006/relationships/hyperlink" Target="http://www.horn.biz/" TargetMode="External"/><Relationship Id="rId4" Type="http://schemas.openxmlformats.org/officeDocument/2006/relationships/hyperlink" Target="https://www.kanzlei-steenberg.de/" TargetMode="External"/><Relationship Id="rId180" Type="http://schemas.openxmlformats.org/officeDocument/2006/relationships/hyperlink" Target="http://www.stb-schmitt-nsu.de/" TargetMode="External"/><Relationship Id="rId215" Type="http://schemas.openxmlformats.org/officeDocument/2006/relationships/hyperlink" Target="https://www.bing.com/alink/link?url=https%3a%2f%2fwww.kanzlei-kkp.de%2f&amp;source=serp-local&amp;h=S08Ta65bSJsAXdXEDWiie2%2bnucZpnpkN2lb4ivPfwBk%3d&amp;p=lw_magsmlt&amp;ig=C9C4F44002DC4D00941B1B17CA81C1EC&amp;ypid=YN7B86DC0766E68CBD" TargetMode="External"/><Relationship Id="rId236" Type="http://schemas.openxmlformats.org/officeDocument/2006/relationships/hyperlink" Target="https://www.steuerberater-witte.de/" TargetMode="External"/><Relationship Id="rId257" Type="http://schemas.openxmlformats.org/officeDocument/2006/relationships/hyperlink" Target="https://www.kanzlei-sack-dortmund.de/aktuelles.html" TargetMode="External"/><Relationship Id="rId42" Type="http://schemas.openxmlformats.org/officeDocument/2006/relationships/hyperlink" Target="https://www.luebeckonline.com/impressum.html" TargetMode="External"/><Relationship Id="rId84" Type="http://schemas.openxmlformats.org/officeDocument/2006/relationships/hyperlink" Target="mailto:info@tes-partner.de" TargetMode="External"/><Relationship Id="rId138" Type="http://schemas.openxmlformats.org/officeDocument/2006/relationships/hyperlink" Target="mailto:info@schmutz-steuerberatung.de" TargetMode="External"/><Relationship Id="rId191" Type="http://schemas.openxmlformats.org/officeDocument/2006/relationships/hyperlink" Target="http://www.lothar-pilny.de/impressum/index.php" TargetMode="External"/><Relationship Id="rId205" Type="http://schemas.openxmlformats.org/officeDocument/2006/relationships/hyperlink" Target="https://www.bing.com/alink/link?url=http%3a%2f%2fselbstanzeige-nuernberg.de%2f&amp;source=serp-local&amp;h=BjNTsn7veaYnH6xSk25cYhBNoy0BD4vvvLwIa7dNaDg%3d&amp;p=lw_magsmlt&amp;ig=944B72C4E54249A3B2D630E0CB6CCA09&amp;ypid=YNEEEB18D6E0548E4A" TargetMode="External"/><Relationship Id="rId247" Type="http://schemas.openxmlformats.org/officeDocument/2006/relationships/hyperlink" Target="https://www.steuerkanzlei-dortmund.de/" TargetMode="External"/><Relationship Id="rId107" Type="http://schemas.openxmlformats.org/officeDocument/2006/relationships/hyperlink" Target="mailto:info@vaih.de" TargetMode="External"/><Relationship Id="rId11" Type="http://schemas.openxmlformats.org/officeDocument/2006/relationships/hyperlink" Target="https://www.faust-rechtsanwalt.de/" TargetMode="External"/><Relationship Id="rId53" Type="http://schemas.openxmlformats.org/officeDocument/2006/relationships/hyperlink" Target="https://www.pulch.de/" TargetMode="External"/><Relationship Id="rId149" Type="http://schemas.openxmlformats.org/officeDocument/2006/relationships/hyperlink" Target="http://magnus-kaiser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7CFF"/>
  </sheetPr>
  <dimension ref="A1:Z988"/>
  <sheetViews>
    <sheetView showGridLines="0" tabSelected="1" workbookViewId="0">
      <selection activeCell="J5" sqref="J5"/>
    </sheetView>
  </sheetViews>
  <sheetFormatPr baseColWidth="10" defaultColWidth="14.42578125" defaultRowHeight="15" customHeight="1"/>
  <cols>
    <col min="1" max="1" width="2" customWidth="1"/>
    <col min="2" max="2" width="24" customWidth="1"/>
    <col min="3" max="7" width="14" customWidth="1"/>
    <col min="8" max="8" width="5.140625" customWidth="1"/>
    <col min="9" max="12" width="10.85546875" customWidth="1"/>
    <col min="13" max="26" width="8.7109375" customWidth="1"/>
  </cols>
  <sheetData>
    <row r="1" spans="1:26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.75" customHeight="1">
      <c r="A2" s="1"/>
      <c r="B2" s="1"/>
      <c r="C2" s="1"/>
      <c r="D2" s="227" t="s">
        <v>0</v>
      </c>
      <c r="E2" s="228"/>
      <c r="F2" s="228"/>
      <c r="G2" s="22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1"/>
      <c r="C3" s="1"/>
      <c r="D3" s="230" t="s">
        <v>1</v>
      </c>
      <c r="E3" s="228"/>
      <c r="F3" s="228"/>
      <c r="G3" s="22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 spans="1:26" ht="24" customHeight="1">
      <c r="B6" s="231" t="s">
        <v>2</v>
      </c>
      <c r="C6" s="232"/>
      <c r="D6" s="232"/>
      <c r="E6" s="232"/>
      <c r="F6" s="232"/>
      <c r="G6" s="232"/>
    </row>
    <row r="7" spans="1:26" ht="19.5" customHeight="1">
      <c r="B7" s="2" t="s">
        <v>3</v>
      </c>
      <c r="C7" s="2" t="s">
        <v>4</v>
      </c>
      <c r="D7" s="3" t="s">
        <v>5</v>
      </c>
      <c r="E7" s="4" t="s">
        <v>6</v>
      </c>
      <c r="F7" s="4" t="s">
        <v>7</v>
      </c>
      <c r="G7" s="3" t="s">
        <v>8</v>
      </c>
    </row>
    <row r="8" spans="1:26" ht="39.75" customHeight="1">
      <c r="B8" s="5">
        <f>COUNTA(Akquise[Firmenname])</f>
        <v>259</v>
      </c>
      <c r="C8" s="6">
        <f>COUNTA(QualliCalls[Firmenname])</f>
        <v>2</v>
      </c>
      <c r="D8" s="7">
        <f>COUNTA(SaleCalls[Firmenname])</f>
        <v>2</v>
      </c>
      <c r="E8" s="8">
        <f>COUNTA(Kunden[Firmenname])</f>
        <v>4</v>
      </c>
      <c r="F8" s="9">
        <f>IFERROR(E8/B8,0)</f>
        <v>1.5444015444015444E-2</v>
      </c>
      <c r="G8" s="10">
        <f>SUMIF(SaleCalls[Sales-Ergebnis],"Offen",SaleCalls[Angebotsvolumen (€)])+SUMIF(SaleCalls[Sales-Ergebnis],"Follow-up",SaleCalls[Angebotsvolumen (€)])</f>
        <v>1750</v>
      </c>
    </row>
    <row r="10" spans="1:26" ht="24" customHeight="1">
      <c r="B10" s="231" t="s">
        <v>9</v>
      </c>
      <c r="C10" s="232"/>
      <c r="D10" s="232"/>
      <c r="E10" s="232"/>
      <c r="F10" s="232"/>
      <c r="G10" s="232"/>
    </row>
    <row r="11" spans="1:26" ht="25.5" customHeight="1">
      <c r="B11" s="11" t="s">
        <v>10</v>
      </c>
      <c r="C11" s="11" t="s">
        <v>3</v>
      </c>
      <c r="D11" s="11" t="s">
        <v>4</v>
      </c>
      <c r="E11" s="11" t="s">
        <v>6</v>
      </c>
      <c r="F11" s="11" t="s">
        <v>7</v>
      </c>
      <c r="H11" s="233" t="s">
        <v>11</v>
      </c>
      <c r="I11" s="12" t="s">
        <v>3</v>
      </c>
      <c r="J11" s="12" t="s">
        <v>4</v>
      </c>
      <c r="K11" s="12" t="s">
        <v>6</v>
      </c>
      <c r="L11" s="12" t="s">
        <v>7</v>
      </c>
    </row>
    <row r="12" spans="1:26" ht="19.5" customHeight="1">
      <c r="B12" s="13" t="str">
        <f ca="1">IFERROR(__xludf.DUMMYFUNCTION("QUERY(Dropdowns[Zielgruppe], ""SELECT *"", 1)"),"Coaches &amp; Berater")</f>
        <v>Coaches &amp; Berater</v>
      </c>
      <c r="C12" s="14">
        <f ca="1">IF(B12="","",COUNTIF(Akquise[Zielgruppe],$B12))</f>
        <v>2</v>
      </c>
      <c r="D12" s="15">
        <f ca="1">IF(B12="","",COUNTIF(QualliCalls[Zielgruppe],$B12))</f>
        <v>0</v>
      </c>
      <c r="E12" s="15">
        <f ca="1">COUNTIF(Kunden!$B$4:$B$828,$B12)</f>
        <v>1</v>
      </c>
      <c r="F12" s="16">
        <f t="shared" ref="F12:F18" ca="1" si="0">IFERROR(E12/C12,0)</f>
        <v>0.5</v>
      </c>
      <c r="H12" s="234"/>
      <c r="I12" s="17">
        <f t="shared" ref="I12:K12" ca="1" si="1">SUM(C12:C988)</f>
        <v>259</v>
      </c>
      <c r="J12" s="18">
        <f t="shared" ca="1" si="1"/>
        <v>2</v>
      </c>
      <c r="K12" s="18">
        <f t="shared" ca="1" si="1"/>
        <v>2</v>
      </c>
      <c r="L12" s="19">
        <f ca="1">IFERROR(K12/I12,0)</f>
        <v>7.7220077220077222E-3</v>
      </c>
    </row>
    <row r="13" spans="1:26" ht="19.5" customHeight="1">
      <c r="B13" s="20" t="str">
        <f ca="1">IFERROR(__xludf.DUMMYFUNCTION("""COMPUTED_VALUE"""),"Steuerberater &amp; Anwälte")</f>
        <v>Steuerberater &amp; Anwälte</v>
      </c>
      <c r="C13" s="21">
        <f ca="1">IF(B13="","",COUNTIF(Akquise[Zielgruppe],$B13))</f>
        <v>251</v>
      </c>
      <c r="D13" s="22">
        <f ca="1">IF(B13="","",COUNTIF(QualliCalls[Zielgruppe],$B13))</f>
        <v>0</v>
      </c>
      <c r="E13" s="22">
        <f ca="1">COUNTIF(Kunden!$B$4:$B$828,$B13)</f>
        <v>0</v>
      </c>
      <c r="F13" s="23">
        <f t="shared" ca="1" si="0"/>
        <v>0</v>
      </c>
      <c r="H13" s="234"/>
    </row>
    <row r="14" spans="1:26" ht="19.5" customHeight="1">
      <c r="B14" s="13" t="str">
        <f ca="1">IFERROR(__xludf.DUMMYFUNCTION("""COMPUTED_VALUE"""),"Immobilien &amp; Makler")</f>
        <v>Immobilien &amp; Makler</v>
      </c>
      <c r="C14" s="14">
        <f ca="1">IF(B14="","",COUNTIF(Akquise[Zielgruppe],$B14))</f>
        <v>3</v>
      </c>
      <c r="D14" s="15">
        <f ca="1">IF(B14="","",COUNTIF(QualliCalls[Zielgruppe],$B14))</f>
        <v>1</v>
      </c>
      <c r="E14" s="15">
        <f ca="1">COUNTIF(Kunden!$B$4:$B$828,$B14)</f>
        <v>0</v>
      </c>
      <c r="F14" s="24">
        <f t="shared" ca="1" si="0"/>
        <v>0</v>
      </c>
      <c r="H14" s="234"/>
    </row>
    <row r="15" spans="1:26" ht="19.5" customHeight="1">
      <c r="B15" s="20" t="str">
        <f ca="1">IFERROR(__xludf.DUMMYFUNCTION("""COMPUTED_VALUE"""),"Handwerk &amp; Lokal")</f>
        <v>Handwerk &amp; Lokal</v>
      </c>
      <c r="C15" s="21">
        <f ca="1">IF(B15="","",COUNTIF(Akquise[Zielgruppe],$B15))</f>
        <v>0</v>
      </c>
      <c r="D15" s="22">
        <f ca="1">IF(B15="","",COUNTIF(QualliCalls[Zielgruppe],$B15))</f>
        <v>0</v>
      </c>
      <c r="E15" s="22">
        <f ca="1">COUNTIF(Kunden!$B$4:$B$828,$B15)</f>
        <v>0</v>
      </c>
      <c r="F15" s="25">
        <f t="shared" ca="1" si="0"/>
        <v>0</v>
      </c>
      <c r="H15" s="234"/>
      <c r="I15" s="236" t="s">
        <v>12</v>
      </c>
      <c r="J15" s="232"/>
      <c r="K15" s="232"/>
      <c r="L15" s="232"/>
      <c r="M15" s="26"/>
      <c r="N15" s="26"/>
    </row>
    <row r="16" spans="1:26" ht="19.5" customHeight="1">
      <c r="B16" s="13" t="str">
        <f ca="1">IFERROR(__xludf.DUMMYFUNCTION("""COMPUTED_VALUE"""),"Musik &amp; Event")</f>
        <v>Musik &amp; Event</v>
      </c>
      <c r="C16" s="14">
        <f ca="1">IF(B16="","",COUNTIF(Akquise[Zielgruppe],$B16))</f>
        <v>1</v>
      </c>
      <c r="D16" s="15">
        <f ca="1">IF(B16="","",COUNTIF(QualliCalls[Zielgruppe],$B16))</f>
        <v>1</v>
      </c>
      <c r="E16" s="15">
        <f ca="1">COUNTIF(Kunden!$B$4:$B$828,$B16)</f>
        <v>1</v>
      </c>
      <c r="F16" s="27">
        <f t="shared" ca="1" si="0"/>
        <v>1</v>
      </c>
      <c r="H16" s="234"/>
      <c r="I16" s="232"/>
      <c r="J16" s="232"/>
      <c r="K16" s="232"/>
      <c r="L16" s="232"/>
      <c r="M16" s="26"/>
      <c r="N16" s="26"/>
    </row>
    <row r="17" spans="2:12" ht="19.5" customHeight="1">
      <c r="B17" s="20" t="str">
        <f ca="1">IFERROR(__xludf.DUMMYFUNCTION("""COMPUTED_VALUE"""),"Agentur (Subcontracting)")</f>
        <v>Agentur (Subcontracting)</v>
      </c>
      <c r="C17" s="21">
        <f ca="1">IF(B17="","",COUNTIF(Akquise[Zielgruppe],$B17))</f>
        <v>0</v>
      </c>
      <c r="D17" s="22">
        <f ca="1">IF(B17="","",COUNTIF(QualliCalls[Zielgruppe],$B17))</f>
        <v>0</v>
      </c>
      <c r="E17" s="22">
        <f ca="1">COUNTIF(Kunden!$B$4:$B$828,$B17)</f>
        <v>0</v>
      </c>
      <c r="F17" s="23">
        <f t="shared" ca="1" si="0"/>
        <v>0</v>
      </c>
      <c r="H17" s="234"/>
      <c r="I17" s="232"/>
      <c r="J17" s="232"/>
      <c r="K17" s="232"/>
      <c r="L17" s="232"/>
    </row>
    <row r="18" spans="2:12" ht="19.5" customHeight="1">
      <c r="B18" s="28" t="str">
        <f ca="1">IFERROR(__xludf.DUMMYFUNCTION("""COMPUTED_VALUE"""),"Sonstige")</f>
        <v>Sonstige</v>
      </c>
      <c r="C18" s="14">
        <f ca="1">IF(B18="","",COUNTIF(Akquise[Zielgruppe],$B18))</f>
        <v>2</v>
      </c>
      <c r="D18" s="15">
        <f ca="1">IF(B18="","",COUNTIF(QualliCalls[Zielgruppe],$B18))</f>
        <v>0</v>
      </c>
      <c r="E18" s="29">
        <f ca="1">COUNTIF(Kunden!$B$4:$B$828,$B18)</f>
        <v>0</v>
      </c>
      <c r="F18" s="30">
        <f t="shared" ca="1" si="0"/>
        <v>0</v>
      </c>
      <c r="H18" s="235"/>
      <c r="I18" s="232"/>
      <c r="J18" s="232"/>
      <c r="K18" s="232"/>
      <c r="L18" s="232"/>
    </row>
    <row r="19" spans="2:12" ht="15.75" customHeight="1">
      <c r="B19" s="31"/>
      <c r="C19" s="21" t="str">
        <f>IF(B19="","",COUNTIF(Akquise[Zielgruppe],$B19))</f>
        <v/>
      </c>
      <c r="D19" s="22" t="str">
        <f>IF(B19="","",COUNTIF(QualliCalls[Zielgruppe],$B19))</f>
        <v/>
      </c>
      <c r="E19" s="31"/>
      <c r="F19" s="31"/>
    </row>
    <row r="20" spans="2:12" ht="15.75" customHeight="1">
      <c r="B20" s="32"/>
      <c r="C20" s="14" t="str">
        <f>IF(B20="","",COUNTIF(Akquise[Zielgruppe],$B20))</f>
        <v/>
      </c>
      <c r="D20" s="15" t="str">
        <f>IF(B20="","",COUNTIF(QualliCalls[Zielgruppe],$B20))</f>
        <v/>
      </c>
      <c r="E20" s="32"/>
      <c r="F20" s="32"/>
    </row>
    <row r="21" spans="2:12" ht="15.75" customHeight="1">
      <c r="B21" s="31"/>
      <c r="C21" s="21" t="str">
        <f>IF(B21="","",COUNTIF(Akquise[Zielgruppe],$B21))</f>
        <v/>
      </c>
      <c r="D21" s="22" t="str">
        <f>IF(B21="","",COUNTIF(QualliCalls[Zielgruppe],$B21))</f>
        <v/>
      </c>
      <c r="E21" s="31"/>
      <c r="F21" s="31"/>
    </row>
    <row r="22" spans="2:12" ht="15.75" customHeight="1">
      <c r="B22" s="32"/>
      <c r="C22" s="14" t="str">
        <f>IF(B22="","",COUNTIF(Akquise[Zielgruppe],$B22))</f>
        <v/>
      </c>
      <c r="D22" s="15" t="str">
        <f>IF(B22="","",COUNTIF(QualliCalls[Zielgruppe],$B22))</f>
        <v/>
      </c>
      <c r="E22" s="32"/>
      <c r="F22" s="32"/>
    </row>
    <row r="23" spans="2:12" ht="15.75" customHeight="1">
      <c r="B23" s="31"/>
      <c r="C23" s="21" t="str">
        <f>IF(B23="","",COUNTIF(Akquise[Zielgruppe],$B23))</f>
        <v/>
      </c>
      <c r="D23" s="22" t="str">
        <f>IF(B23="","",COUNTIF(QualliCalls[Zielgruppe],$B23))</f>
        <v/>
      </c>
      <c r="E23" s="31"/>
      <c r="F23" s="31"/>
    </row>
    <row r="24" spans="2:12" ht="15.75" customHeight="1">
      <c r="B24" s="32"/>
      <c r="C24" s="14" t="str">
        <f>IF(B24="","",COUNTIF(Akquise[Zielgruppe],$B24))</f>
        <v/>
      </c>
      <c r="D24" s="15" t="str">
        <f>IF(B24="","",COUNTIF(QualliCalls[Zielgruppe],$B24))</f>
        <v/>
      </c>
      <c r="E24" s="32"/>
      <c r="F24" s="32"/>
    </row>
    <row r="25" spans="2:12" ht="15.75" customHeight="1">
      <c r="B25" s="31"/>
      <c r="C25" s="21" t="str">
        <f>IF(B25="","",COUNTIF(Akquise[Zielgruppe],$B25))</f>
        <v/>
      </c>
      <c r="D25" s="22" t="str">
        <f>IF(B25="","",COUNTIF(QualliCalls[Zielgruppe],$B25))</f>
        <v/>
      </c>
      <c r="E25" s="31"/>
      <c r="F25" s="31"/>
    </row>
    <row r="26" spans="2:12" ht="15.75" customHeight="1">
      <c r="B26" s="32"/>
      <c r="C26" s="14" t="str">
        <f>IF(B26="","",COUNTIF(Akquise[Zielgruppe],$B26))</f>
        <v/>
      </c>
      <c r="D26" s="15" t="str">
        <f>IF(B26="","",COUNTIF(QualliCalls[Zielgruppe],$B26))</f>
        <v/>
      </c>
      <c r="E26" s="32"/>
      <c r="F26" s="32"/>
    </row>
    <row r="27" spans="2:12" ht="15.75" customHeight="1">
      <c r="B27" s="31"/>
      <c r="C27" s="21" t="str">
        <f>IF(B27="","",COUNTIF(Akquise[Zielgruppe],$B27))</f>
        <v/>
      </c>
      <c r="D27" s="22" t="str">
        <f>IF(B27="","",COUNTIF(QualliCalls[Zielgruppe],$B27))</f>
        <v/>
      </c>
      <c r="E27" s="31"/>
      <c r="F27" s="31"/>
    </row>
    <row r="28" spans="2:12" ht="15.75" customHeight="1">
      <c r="B28" s="32"/>
      <c r="C28" s="14" t="str">
        <f>IF(B28="","",COUNTIF(Akquise[Zielgruppe],$B28))</f>
        <v/>
      </c>
      <c r="D28" s="15" t="str">
        <f>IF(B28="","",COUNTIF(QualliCalls[Zielgruppe],$B28))</f>
        <v/>
      </c>
      <c r="E28" s="32"/>
      <c r="F28" s="32"/>
    </row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6">
    <mergeCell ref="I15:L18"/>
    <mergeCell ref="D2:G2"/>
    <mergeCell ref="D3:G3"/>
    <mergeCell ref="B6:G6"/>
    <mergeCell ref="B10:G10"/>
    <mergeCell ref="H11:H18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7CFF"/>
  </sheetPr>
  <dimension ref="A1:P84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8.85546875" customWidth="1"/>
    <col min="2" max="2" width="24.7109375" customWidth="1"/>
    <col min="3" max="5" width="43" customWidth="1"/>
    <col min="6" max="6" width="21.5703125" customWidth="1"/>
    <col min="7" max="7" width="43" customWidth="1"/>
    <col min="8" max="8" width="22.42578125" customWidth="1"/>
    <col min="9" max="9" width="33.42578125" customWidth="1"/>
    <col min="10" max="10" width="15.28515625" customWidth="1"/>
    <col min="11" max="11" width="17.140625" customWidth="1"/>
    <col min="12" max="12" width="16.5703125" customWidth="1"/>
    <col min="13" max="13" width="22.42578125" customWidth="1"/>
    <col min="14" max="14" width="24.5703125" customWidth="1"/>
    <col min="15" max="15" width="21.85546875" customWidth="1"/>
    <col min="16" max="16" width="37.28515625" customWidth="1"/>
  </cols>
  <sheetData>
    <row r="1" spans="1:16" ht="30" customHeight="1">
      <c r="A1" s="33" t="s">
        <v>13</v>
      </c>
      <c r="B1" s="33" t="s">
        <v>10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3" t="s">
        <v>26</v>
      </c>
      <c r="P1" s="33" t="s">
        <v>27</v>
      </c>
    </row>
    <row r="2" spans="1:16" ht="19.5" customHeight="1">
      <c r="A2" s="34" t="str">
        <f t="shared" ref="A2:A256" si="0">IF($C2&lt;&gt;"","L-"&amp;TEXT(ROW()-1,"000"),"")</f>
        <v>L-001</v>
      </c>
      <c r="B2" s="35" t="s">
        <v>28</v>
      </c>
      <c r="C2" s="36" t="s">
        <v>29</v>
      </c>
      <c r="D2" s="36" t="s">
        <v>30</v>
      </c>
      <c r="E2" s="36" t="s">
        <v>31</v>
      </c>
      <c r="F2" s="36" t="s">
        <v>32</v>
      </c>
      <c r="G2" s="37" t="s">
        <v>33</v>
      </c>
      <c r="H2" s="36" t="s">
        <v>34</v>
      </c>
      <c r="I2" s="36" t="s">
        <v>35</v>
      </c>
      <c r="J2" s="36" t="s">
        <v>36</v>
      </c>
      <c r="K2" s="36" t="s">
        <v>37</v>
      </c>
      <c r="L2" s="36" t="s">
        <v>38</v>
      </c>
      <c r="M2" s="38"/>
      <c r="N2" s="39" t="s">
        <v>39</v>
      </c>
      <c r="O2" s="38"/>
      <c r="P2" s="40"/>
    </row>
    <row r="3" spans="1:16" ht="19.5" customHeight="1">
      <c r="A3" s="41" t="str">
        <f t="shared" si="0"/>
        <v>L-002</v>
      </c>
      <c r="B3" s="42" t="s">
        <v>28</v>
      </c>
      <c r="C3" s="39" t="s">
        <v>40</v>
      </c>
      <c r="D3" s="39" t="s">
        <v>41</v>
      </c>
      <c r="E3" s="39" t="s">
        <v>42</v>
      </c>
      <c r="F3" s="39" t="s">
        <v>43</v>
      </c>
      <c r="G3" s="43" t="s">
        <v>44</v>
      </c>
      <c r="H3" s="39" t="s">
        <v>45</v>
      </c>
      <c r="I3" s="39" t="s">
        <v>46</v>
      </c>
      <c r="J3" s="39" t="s">
        <v>36</v>
      </c>
      <c r="K3" s="39" t="s">
        <v>47</v>
      </c>
      <c r="L3" s="39" t="s">
        <v>48</v>
      </c>
      <c r="M3" s="44"/>
      <c r="N3" s="39" t="s">
        <v>39</v>
      </c>
      <c r="O3" s="44"/>
      <c r="P3" s="45"/>
    </row>
    <row r="4" spans="1:16" ht="19.5" customHeight="1">
      <c r="A4" s="41" t="str">
        <f t="shared" si="0"/>
        <v>L-003</v>
      </c>
      <c r="B4" s="42" t="s">
        <v>49</v>
      </c>
      <c r="C4" s="39" t="s">
        <v>50</v>
      </c>
      <c r="D4" s="39" t="s">
        <v>51</v>
      </c>
      <c r="E4" s="39" t="s">
        <v>52</v>
      </c>
      <c r="F4" s="39" t="s">
        <v>53</v>
      </c>
      <c r="G4" s="43" t="s">
        <v>54</v>
      </c>
      <c r="H4" s="39" t="s">
        <v>55</v>
      </c>
      <c r="I4" s="39" t="s">
        <v>56</v>
      </c>
      <c r="J4" s="39" t="s">
        <v>36</v>
      </c>
      <c r="K4" s="39" t="s">
        <v>47</v>
      </c>
      <c r="L4" s="39" t="s">
        <v>48</v>
      </c>
      <c r="M4" s="44"/>
      <c r="N4" s="39" t="s">
        <v>39</v>
      </c>
      <c r="O4" s="44"/>
      <c r="P4" s="45"/>
    </row>
    <row r="5" spans="1:16" ht="19.5" customHeight="1">
      <c r="A5" s="41" t="str">
        <f t="shared" si="0"/>
        <v>L-004</v>
      </c>
      <c r="B5" s="42" t="s">
        <v>49</v>
      </c>
      <c r="C5" s="39" t="s">
        <v>57</v>
      </c>
      <c r="D5" s="39" t="s">
        <v>58</v>
      </c>
      <c r="E5" s="39" t="s">
        <v>59</v>
      </c>
      <c r="F5" s="39" t="s">
        <v>60</v>
      </c>
      <c r="G5" s="43" t="s">
        <v>61</v>
      </c>
      <c r="H5" s="39" t="s">
        <v>62</v>
      </c>
      <c r="I5" s="39" t="s">
        <v>63</v>
      </c>
      <c r="J5" s="39" t="s">
        <v>36</v>
      </c>
      <c r="K5" s="39" t="s">
        <v>37</v>
      </c>
      <c r="L5" s="39" t="s">
        <v>48</v>
      </c>
      <c r="M5" s="44"/>
      <c r="N5" s="39" t="s">
        <v>39</v>
      </c>
      <c r="O5" s="44"/>
      <c r="P5" s="45"/>
    </row>
    <row r="6" spans="1:16" ht="19.5" customHeight="1">
      <c r="A6" s="41" t="str">
        <f t="shared" si="0"/>
        <v>L-005</v>
      </c>
      <c r="B6" s="42" t="s">
        <v>49</v>
      </c>
      <c r="C6" s="39" t="s">
        <v>64</v>
      </c>
      <c r="D6" s="39" t="s">
        <v>65</v>
      </c>
      <c r="E6" s="39" t="s">
        <v>66</v>
      </c>
      <c r="F6" s="39" t="s">
        <v>67</v>
      </c>
      <c r="G6" s="43" t="s">
        <v>68</v>
      </c>
      <c r="H6" s="39" t="s">
        <v>69</v>
      </c>
      <c r="I6" s="39" t="s">
        <v>70</v>
      </c>
      <c r="J6" s="39" t="s">
        <v>36</v>
      </c>
      <c r="K6" s="39" t="s">
        <v>47</v>
      </c>
      <c r="L6" s="39" t="s">
        <v>48</v>
      </c>
      <c r="M6" s="44"/>
      <c r="N6" s="39" t="s">
        <v>39</v>
      </c>
      <c r="O6" s="44"/>
      <c r="P6" s="45"/>
    </row>
    <row r="7" spans="1:16" ht="19.5" customHeight="1">
      <c r="A7" s="41" t="str">
        <f t="shared" si="0"/>
        <v>L-006</v>
      </c>
      <c r="B7" s="42" t="s">
        <v>49</v>
      </c>
      <c r="C7" s="39" t="s">
        <v>71</v>
      </c>
      <c r="D7" s="39" t="s">
        <v>72</v>
      </c>
      <c r="E7" s="39" t="s">
        <v>66</v>
      </c>
      <c r="F7" s="39" t="s">
        <v>73</v>
      </c>
      <c r="G7" s="43" t="s">
        <v>74</v>
      </c>
      <c r="H7" s="39" t="s">
        <v>75</v>
      </c>
      <c r="I7" s="39" t="s">
        <v>76</v>
      </c>
      <c r="J7" s="39" t="s">
        <v>77</v>
      </c>
      <c r="K7" s="39" t="s">
        <v>47</v>
      </c>
      <c r="L7" s="39" t="s">
        <v>38</v>
      </c>
      <c r="M7" s="44"/>
      <c r="N7" s="39" t="s">
        <v>39</v>
      </c>
      <c r="O7" s="44"/>
      <c r="P7" s="45" t="s">
        <v>78</v>
      </c>
    </row>
    <row r="8" spans="1:16" ht="19.5" customHeight="1">
      <c r="A8" s="41" t="str">
        <f t="shared" si="0"/>
        <v>L-007</v>
      </c>
      <c r="B8" s="42" t="s">
        <v>49</v>
      </c>
      <c r="C8" s="39" t="s">
        <v>79</v>
      </c>
      <c r="D8" s="46"/>
      <c r="E8" s="46"/>
      <c r="F8" s="39" t="s">
        <v>73</v>
      </c>
      <c r="G8" s="43" t="s">
        <v>80</v>
      </c>
      <c r="H8" s="39" t="s">
        <v>81</v>
      </c>
      <c r="I8" s="39" t="s">
        <v>82</v>
      </c>
      <c r="J8" s="39" t="s">
        <v>77</v>
      </c>
      <c r="K8" s="39" t="s">
        <v>37</v>
      </c>
      <c r="L8" s="39" t="s">
        <v>83</v>
      </c>
      <c r="M8" s="44"/>
      <c r="N8" s="39" t="s">
        <v>39</v>
      </c>
      <c r="O8" s="44"/>
      <c r="P8" s="45"/>
    </row>
    <row r="9" spans="1:16" ht="19.5" customHeight="1">
      <c r="A9" s="41" t="str">
        <f t="shared" si="0"/>
        <v>L-008</v>
      </c>
      <c r="B9" s="42" t="s">
        <v>49</v>
      </c>
      <c r="C9" s="39" t="s">
        <v>84</v>
      </c>
      <c r="D9" s="39" t="s">
        <v>85</v>
      </c>
      <c r="E9" s="39" t="s">
        <v>66</v>
      </c>
      <c r="F9" s="39" t="s">
        <v>73</v>
      </c>
      <c r="G9" s="43" t="s">
        <v>86</v>
      </c>
      <c r="H9" s="39" t="s">
        <v>87</v>
      </c>
      <c r="I9" s="39" t="s">
        <v>88</v>
      </c>
      <c r="J9" s="39" t="s">
        <v>77</v>
      </c>
      <c r="K9" s="39" t="s">
        <v>37</v>
      </c>
      <c r="L9" s="39" t="s">
        <v>83</v>
      </c>
      <c r="M9" s="44"/>
      <c r="N9" s="39" t="s">
        <v>39</v>
      </c>
      <c r="O9" s="44"/>
      <c r="P9" s="45"/>
    </row>
    <row r="10" spans="1:16" ht="19.5" customHeight="1">
      <c r="A10" s="41" t="str">
        <f t="shared" si="0"/>
        <v>L-009</v>
      </c>
      <c r="B10" s="42" t="s">
        <v>49</v>
      </c>
      <c r="C10" s="39" t="s">
        <v>89</v>
      </c>
      <c r="D10" s="39" t="s">
        <v>90</v>
      </c>
      <c r="E10" s="39" t="s">
        <v>66</v>
      </c>
      <c r="F10" s="39" t="s">
        <v>73</v>
      </c>
      <c r="G10" s="43" t="s">
        <v>91</v>
      </c>
      <c r="H10" s="39" t="s">
        <v>92</v>
      </c>
      <c r="I10" s="39" t="s">
        <v>93</v>
      </c>
      <c r="J10" s="39" t="s">
        <v>77</v>
      </c>
      <c r="K10" s="39" t="s">
        <v>94</v>
      </c>
      <c r="L10" s="39" t="s">
        <v>83</v>
      </c>
      <c r="M10" s="44"/>
      <c r="N10" s="39" t="s">
        <v>39</v>
      </c>
      <c r="O10" s="44"/>
      <c r="P10" s="45"/>
    </row>
    <row r="11" spans="1:16" ht="19.5" customHeight="1">
      <c r="A11" s="41" t="str">
        <f t="shared" si="0"/>
        <v>L-010</v>
      </c>
      <c r="B11" s="42" t="s">
        <v>49</v>
      </c>
      <c r="C11" s="39" t="s">
        <v>95</v>
      </c>
      <c r="D11" s="46"/>
      <c r="E11" s="46"/>
      <c r="F11" s="39" t="s">
        <v>73</v>
      </c>
      <c r="G11" s="46"/>
      <c r="H11" s="39" t="s">
        <v>96</v>
      </c>
      <c r="I11" s="46"/>
      <c r="J11" s="39" t="s">
        <v>77</v>
      </c>
      <c r="K11" s="39" t="s">
        <v>97</v>
      </c>
      <c r="L11" s="39" t="s">
        <v>48</v>
      </c>
      <c r="M11" s="44"/>
      <c r="N11" s="39" t="s">
        <v>39</v>
      </c>
      <c r="O11" s="44"/>
      <c r="P11" s="45" t="s">
        <v>98</v>
      </c>
    </row>
    <row r="12" spans="1:16" ht="19.5" customHeight="1">
      <c r="A12" s="41" t="str">
        <f t="shared" si="0"/>
        <v>L-011</v>
      </c>
      <c r="B12" s="42" t="s">
        <v>49</v>
      </c>
      <c r="C12" s="39" t="s">
        <v>99</v>
      </c>
      <c r="D12" s="39" t="s">
        <v>99</v>
      </c>
      <c r="E12" s="39" t="s">
        <v>66</v>
      </c>
      <c r="F12" s="39" t="s">
        <v>73</v>
      </c>
      <c r="G12" s="43" t="s">
        <v>100</v>
      </c>
      <c r="H12" s="39" t="s">
        <v>101</v>
      </c>
      <c r="I12" s="39" t="s">
        <v>102</v>
      </c>
      <c r="J12" s="39" t="s">
        <v>77</v>
      </c>
      <c r="K12" s="39" t="s">
        <v>37</v>
      </c>
      <c r="L12" s="39" t="s">
        <v>38</v>
      </c>
      <c r="M12" s="44"/>
      <c r="N12" s="39" t="s">
        <v>39</v>
      </c>
      <c r="O12" s="44"/>
      <c r="P12" s="45"/>
    </row>
    <row r="13" spans="1:16" ht="19.5" customHeight="1">
      <c r="A13" s="41" t="str">
        <f t="shared" si="0"/>
        <v>L-012</v>
      </c>
      <c r="B13" s="42" t="s">
        <v>49</v>
      </c>
      <c r="C13" s="39" t="s">
        <v>103</v>
      </c>
      <c r="D13" s="39" t="s">
        <v>104</v>
      </c>
      <c r="E13" s="39" t="s">
        <v>105</v>
      </c>
      <c r="F13" s="39" t="s">
        <v>73</v>
      </c>
      <c r="G13" s="43" t="s">
        <v>106</v>
      </c>
      <c r="H13" s="39" t="s">
        <v>107</v>
      </c>
      <c r="I13" s="39" t="s">
        <v>108</v>
      </c>
      <c r="J13" s="39" t="s">
        <v>77</v>
      </c>
      <c r="K13" s="39" t="s">
        <v>94</v>
      </c>
      <c r="L13" s="39" t="s">
        <v>83</v>
      </c>
      <c r="M13" s="44"/>
      <c r="N13" s="39" t="s">
        <v>39</v>
      </c>
      <c r="O13" s="44"/>
      <c r="P13" s="45"/>
    </row>
    <row r="14" spans="1:16" ht="19.5" customHeight="1">
      <c r="A14" s="41" t="str">
        <f t="shared" si="0"/>
        <v>L-013</v>
      </c>
      <c r="B14" s="42" t="s">
        <v>49</v>
      </c>
      <c r="C14" s="39" t="s">
        <v>109</v>
      </c>
      <c r="D14" s="46"/>
      <c r="E14" s="46"/>
      <c r="F14" s="39" t="s">
        <v>73</v>
      </c>
      <c r="G14" s="43" t="s">
        <v>110</v>
      </c>
      <c r="H14" s="39" t="s">
        <v>111</v>
      </c>
      <c r="I14" s="39" t="s">
        <v>112</v>
      </c>
      <c r="J14" s="39" t="s">
        <v>77</v>
      </c>
      <c r="K14" s="39" t="s">
        <v>94</v>
      </c>
      <c r="L14" s="39" t="s">
        <v>83</v>
      </c>
      <c r="M14" s="44"/>
      <c r="N14" s="39" t="s">
        <v>39</v>
      </c>
      <c r="O14" s="44"/>
      <c r="P14" s="45" t="s">
        <v>113</v>
      </c>
    </row>
    <row r="15" spans="1:16" ht="19.5" customHeight="1">
      <c r="A15" s="41" t="str">
        <f t="shared" si="0"/>
        <v>L-014</v>
      </c>
      <c r="B15" s="42" t="s">
        <v>49</v>
      </c>
      <c r="C15" s="39" t="s">
        <v>114</v>
      </c>
      <c r="D15" s="39" t="s">
        <v>115</v>
      </c>
      <c r="E15" s="39" t="s">
        <v>66</v>
      </c>
      <c r="F15" s="39" t="s">
        <v>116</v>
      </c>
      <c r="G15" s="43" t="s">
        <v>117</v>
      </c>
      <c r="H15" s="39" t="s">
        <v>118</v>
      </c>
      <c r="I15" s="39" t="s">
        <v>119</v>
      </c>
      <c r="J15" s="39" t="s">
        <v>77</v>
      </c>
      <c r="K15" s="39" t="s">
        <v>37</v>
      </c>
      <c r="L15" s="39" t="s">
        <v>83</v>
      </c>
      <c r="M15" s="44"/>
      <c r="N15" s="39" t="s">
        <v>39</v>
      </c>
      <c r="O15" s="44"/>
      <c r="P15" s="45"/>
    </row>
    <row r="16" spans="1:16" ht="19.5" customHeight="1">
      <c r="A16" s="41" t="str">
        <f t="shared" si="0"/>
        <v>L-015</v>
      </c>
      <c r="B16" s="42" t="s">
        <v>49</v>
      </c>
      <c r="C16" s="39" t="s">
        <v>120</v>
      </c>
      <c r="D16" s="46"/>
      <c r="E16" s="46"/>
      <c r="F16" s="39" t="s">
        <v>73</v>
      </c>
      <c r="G16" s="43" t="s">
        <v>121</v>
      </c>
      <c r="H16" s="39" t="s">
        <v>122</v>
      </c>
      <c r="I16" s="39" t="s">
        <v>123</v>
      </c>
      <c r="J16" s="39" t="s">
        <v>77</v>
      </c>
      <c r="K16" s="39" t="s">
        <v>94</v>
      </c>
      <c r="L16" s="39" t="s">
        <v>83</v>
      </c>
      <c r="M16" s="44"/>
      <c r="N16" s="39" t="s">
        <v>39</v>
      </c>
      <c r="O16" s="44"/>
      <c r="P16" s="45"/>
    </row>
    <row r="17" spans="1:16" ht="19.5" customHeight="1">
      <c r="A17" s="41" t="str">
        <f t="shared" si="0"/>
        <v>L-016</v>
      </c>
      <c r="B17" s="42" t="s">
        <v>49</v>
      </c>
      <c r="C17" s="39" t="s">
        <v>124</v>
      </c>
      <c r="D17" s="46"/>
      <c r="E17" s="46"/>
      <c r="F17" s="39" t="s">
        <v>73</v>
      </c>
      <c r="G17" s="46"/>
      <c r="H17" s="39" t="s">
        <v>125</v>
      </c>
      <c r="I17" s="46"/>
      <c r="J17" s="39" t="s">
        <v>77</v>
      </c>
      <c r="K17" s="39" t="s">
        <v>97</v>
      </c>
      <c r="L17" s="39" t="s">
        <v>48</v>
      </c>
      <c r="M17" s="44"/>
      <c r="N17" s="39" t="s">
        <v>39</v>
      </c>
      <c r="O17" s="44"/>
      <c r="P17" s="45" t="s">
        <v>98</v>
      </c>
    </row>
    <row r="18" spans="1:16" ht="19.5" customHeight="1">
      <c r="A18" s="41" t="str">
        <f t="shared" si="0"/>
        <v>L-017</v>
      </c>
      <c r="B18" s="42" t="s">
        <v>49</v>
      </c>
      <c r="C18" s="39" t="s">
        <v>126</v>
      </c>
      <c r="D18" s="46"/>
      <c r="E18" s="46"/>
      <c r="F18" s="39" t="s">
        <v>73</v>
      </c>
      <c r="G18" s="43" t="s">
        <v>127</v>
      </c>
      <c r="H18" s="39" t="s">
        <v>128</v>
      </c>
      <c r="I18" s="39" t="s">
        <v>129</v>
      </c>
      <c r="J18" s="39" t="s">
        <v>77</v>
      </c>
      <c r="K18" s="39" t="s">
        <v>37</v>
      </c>
      <c r="L18" s="39" t="s">
        <v>38</v>
      </c>
      <c r="M18" s="44"/>
      <c r="N18" s="39" t="s">
        <v>39</v>
      </c>
      <c r="O18" s="44"/>
      <c r="P18" s="45"/>
    </row>
    <row r="19" spans="1:16" ht="19.5" customHeight="1">
      <c r="A19" s="41" t="str">
        <f t="shared" si="0"/>
        <v>L-018</v>
      </c>
      <c r="B19" s="42" t="s">
        <v>49</v>
      </c>
      <c r="C19" s="39" t="s">
        <v>130</v>
      </c>
      <c r="D19" s="39" t="s">
        <v>131</v>
      </c>
      <c r="E19" s="39" t="s">
        <v>132</v>
      </c>
      <c r="F19" s="39" t="s">
        <v>73</v>
      </c>
      <c r="G19" s="43" t="s">
        <v>133</v>
      </c>
      <c r="H19" s="39" t="s">
        <v>132</v>
      </c>
      <c r="I19" s="39" t="s">
        <v>134</v>
      </c>
      <c r="J19" s="39" t="s">
        <v>77</v>
      </c>
      <c r="K19" s="39" t="s">
        <v>37</v>
      </c>
      <c r="L19" s="39" t="s">
        <v>38</v>
      </c>
      <c r="M19" s="44"/>
      <c r="N19" s="39" t="s">
        <v>39</v>
      </c>
      <c r="O19" s="44"/>
      <c r="P19" s="45"/>
    </row>
    <row r="20" spans="1:16" ht="19.5" customHeight="1">
      <c r="A20" s="41" t="str">
        <f t="shared" si="0"/>
        <v>L-019</v>
      </c>
      <c r="B20" s="42" t="s">
        <v>49</v>
      </c>
      <c r="C20" s="39" t="s">
        <v>135</v>
      </c>
      <c r="D20" s="39" t="s">
        <v>136</v>
      </c>
      <c r="E20" s="39" t="s">
        <v>137</v>
      </c>
      <c r="F20" s="39" t="s">
        <v>73</v>
      </c>
      <c r="G20" s="43" t="s">
        <v>138</v>
      </c>
      <c r="H20" s="39" t="s">
        <v>139</v>
      </c>
      <c r="I20" s="39" t="s">
        <v>140</v>
      </c>
      <c r="J20" s="39" t="s">
        <v>77</v>
      </c>
      <c r="K20" s="39" t="s">
        <v>47</v>
      </c>
      <c r="L20" s="39" t="s">
        <v>48</v>
      </c>
      <c r="M20" s="44"/>
      <c r="N20" s="39" t="s">
        <v>39</v>
      </c>
      <c r="O20" s="44"/>
      <c r="P20" s="45"/>
    </row>
    <row r="21" spans="1:16" ht="19.5" customHeight="1">
      <c r="A21" s="41" t="str">
        <f t="shared" si="0"/>
        <v>L-020</v>
      </c>
      <c r="B21" s="42" t="s">
        <v>49</v>
      </c>
      <c r="C21" s="39" t="s">
        <v>141</v>
      </c>
      <c r="D21" s="39" t="s">
        <v>142</v>
      </c>
      <c r="E21" s="39" t="s">
        <v>143</v>
      </c>
      <c r="F21" s="39" t="s">
        <v>73</v>
      </c>
      <c r="G21" s="47" t="s">
        <v>144</v>
      </c>
      <c r="H21" s="39" t="s">
        <v>145</v>
      </c>
      <c r="I21" s="39" t="s">
        <v>146</v>
      </c>
      <c r="J21" s="39" t="s">
        <v>77</v>
      </c>
      <c r="K21" s="39" t="s">
        <v>37</v>
      </c>
      <c r="L21" s="39" t="s">
        <v>83</v>
      </c>
      <c r="M21" s="44"/>
      <c r="N21" s="39" t="s">
        <v>39</v>
      </c>
      <c r="O21" s="44"/>
      <c r="P21" s="45"/>
    </row>
    <row r="22" spans="1:16" ht="19.5" customHeight="1">
      <c r="A22" s="41" t="str">
        <f t="shared" si="0"/>
        <v>L-021</v>
      </c>
      <c r="B22" s="42" t="s">
        <v>49</v>
      </c>
      <c r="C22" s="39" t="s">
        <v>147</v>
      </c>
      <c r="D22" s="46"/>
      <c r="E22" s="46"/>
      <c r="F22" s="39" t="s">
        <v>73</v>
      </c>
      <c r="G22" s="46"/>
      <c r="H22" s="39" t="s">
        <v>148</v>
      </c>
      <c r="I22" s="46"/>
      <c r="J22" s="39" t="s">
        <v>77</v>
      </c>
      <c r="K22" s="39" t="s">
        <v>97</v>
      </c>
      <c r="L22" s="39" t="s">
        <v>48</v>
      </c>
      <c r="M22" s="44"/>
      <c r="N22" s="39" t="s">
        <v>39</v>
      </c>
      <c r="O22" s="44"/>
      <c r="P22" s="45" t="s">
        <v>98</v>
      </c>
    </row>
    <row r="23" spans="1:16" ht="19.5" customHeight="1">
      <c r="A23" s="41" t="str">
        <f t="shared" si="0"/>
        <v>L-022</v>
      </c>
      <c r="B23" s="42" t="s">
        <v>49</v>
      </c>
      <c r="C23" s="39" t="s">
        <v>149</v>
      </c>
      <c r="D23" s="46"/>
      <c r="E23" s="46"/>
      <c r="F23" s="39" t="s">
        <v>73</v>
      </c>
      <c r="G23" s="46"/>
      <c r="H23" s="39" t="s">
        <v>150</v>
      </c>
      <c r="I23" s="46"/>
      <c r="J23" s="39" t="s">
        <v>77</v>
      </c>
      <c r="K23" s="39" t="s">
        <v>97</v>
      </c>
      <c r="L23" s="39" t="s">
        <v>48</v>
      </c>
      <c r="M23" s="44"/>
      <c r="N23" s="39" t="s">
        <v>39</v>
      </c>
      <c r="O23" s="44"/>
      <c r="P23" s="45" t="s">
        <v>98</v>
      </c>
    </row>
    <row r="24" spans="1:16" ht="19.5" customHeight="1">
      <c r="A24" s="41" t="str">
        <f t="shared" si="0"/>
        <v>L-023</v>
      </c>
      <c r="B24" s="42" t="s">
        <v>49</v>
      </c>
      <c r="C24" s="39" t="s">
        <v>151</v>
      </c>
      <c r="D24" s="46"/>
      <c r="E24" s="46"/>
      <c r="F24" s="39" t="s">
        <v>73</v>
      </c>
      <c r="G24" s="46"/>
      <c r="H24" s="39" t="s">
        <v>152</v>
      </c>
      <c r="I24" s="46"/>
      <c r="J24" s="39" t="s">
        <v>77</v>
      </c>
      <c r="K24" s="39" t="s">
        <v>97</v>
      </c>
      <c r="L24" s="39" t="s">
        <v>48</v>
      </c>
      <c r="M24" s="44"/>
      <c r="N24" s="39" t="s">
        <v>39</v>
      </c>
      <c r="O24" s="44"/>
      <c r="P24" s="45" t="s">
        <v>98</v>
      </c>
    </row>
    <row r="25" spans="1:16" ht="19.5" customHeight="1">
      <c r="A25" s="41" t="str">
        <f t="shared" si="0"/>
        <v>L-024</v>
      </c>
      <c r="B25" s="42" t="s">
        <v>49</v>
      </c>
      <c r="C25" s="39" t="s">
        <v>153</v>
      </c>
      <c r="D25" s="39" t="s">
        <v>154</v>
      </c>
      <c r="E25" s="39" t="s">
        <v>66</v>
      </c>
      <c r="F25" s="39" t="s">
        <v>73</v>
      </c>
      <c r="G25" s="43" t="s">
        <v>155</v>
      </c>
      <c r="H25" s="39" t="s">
        <v>156</v>
      </c>
      <c r="I25" s="39" t="s">
        <v>157</v>
      </c>
      <c r="J25" s="39" t="s">
        <v>77</v>
      </c>
      <c r="K25" s="39" t="s">
        <v>47</v>
      </c>
      <c r="L25" s="39" t="s">
        <v>48</v>
      </c>
      <c r="M25" s="44"/>
      <c r="N25" s="39" t="s">
        <v>39</v>
      </c>
      <c r="O25" s="44"/>
      <c r="P25" s="45"/>
    </row>
    <row r="26" spans="1:16" ht="19.5" customHeight="1">
      <c r="A26" s="41" t="str">
        <f t="shared" si="0"/>
        <v>L-025</v>
      </c>
      <c r="B26" s="42" t="s">
        <v>49</v>
      </c>
      <c r="C26" s="39" t="s">
        <v>158</v>
      </c>
      <c r="D26" s="46"/>
      <c r="E26" s="46"/>
      <c r="F26" s="39" t="s">
        <v>73</v>
      </c>
      <c r="G26" s="43" t="s">
        <v>159</v>
      </c>
      <c r="H26" s="39" t="s">
        <v>160</v>
      </c>
      <c r="I26" s="46"/>
      <c r="J26" s="39" t="s">
        <v>77</v>
      </c>
      <c r="K26" s="39" t="s">
        <v>47</v>
      </c>
      <c r="L26" s="39" t="s">
        <v>48</v>
      </c>
      <c r="M26" s="44"/>
      <c r="N26" s="39" t="s">
        <v>39</v>
      </c>
      <c r="O26" s="44"/>
      <c r="P26" s="45" t="s">
        <v>161</v>
      </c>
    </row>
    <row r="27" spans="1:16" ht="19.5" customHeight="1">
      <c r="A27" s="41" t="str">
        <f t="shared" si="0"/>
        <v>L-026</v>
      </c>
      <c r="B27" s="42" t="s">
        <v>49</v>
      </c>
      <c r="C27" s="39" t="s">
        <v>162</v>
      </c>
      <c r="D27" s="39" t="s">
        <v>163</v>
      </c>
      <c r="E27" s="39" t="s">
        <v>66</v>
      </c>
      <c r="F27" s="39" t="s">
        <v>73</v>
      </c>
      <c r="G27" s="43" t="s">
        <v>164</v>
      </c>
      <c r="H27" s="39" t="s">
        <v>165</v>
      </c>
      <c r="I27" s="39" t="s">
        <v>166</v>
      </c>
      <c r="J27" s="39" t="s">
        <v>77</v>
      </c>
      <c r="K27" s="39" t="s">
        <v>37</v>
      </c>
      <c r="L27" s="39" t="s">
        <v>38</v>
      </c>
      <c r="M27" s="44"/>
      <c r="N27" s="39" t="s">
        <v>39</v>
      </c>
      <c r="O27" s="44"/>
      <c r="P27" s="45"/>
    </row>
    <row r="28" spans="1:16" ht="19.5" customHeight="1">
      <c r="A28" s="41" t="str">
        <f t="shared" si="0"/>
        <v>L-027</v>
      </c>
      <c r="B28" s="42" t="s">
        <v>49</v>
      </c>
      <c r="C28" s="39" t="s">
        <v>167</v>
      </c>
      <c r="D28" s="39" t="s">
        <v>168</v>
      </c>
      <c r="E28" s="39" t="s">
        <v>59</v>
      </c>
      <c r="F28" s="39" t="s">
        <v>73</v>
      </c>
      <c r="G28" s="43" t="s">
        <v>169</v>
      </c>
      <c r="H28" s="39" t="s">
        <v>156</v>
      </c>
      <c r="I28" s="39" t="s">
        <v>170</v>
      </c>
      <c r="J28" s="39" t="s">
        <v>77</v>
      </c>
      <c r="K28" s="39" t="s">
        <v>94</v>
      </c>
      <c r="L28" s="39" t="s">
        <v>83</v>
      </c>
      <c r="M28" s="44"/>
      <c r="N28" s="39" t="s">
        <v>39</v>
      </c>
      <c r="O28" s="44"/>
      <c r="P28" s="45"/>
    </row>
    <row r="29" spans="1:16" ht="19.5" customHeight="1">
      <c r="A29" s="41" t="str">
        <f t="shared" si="0"/>
        <v>L-028</v>
      </c>
      <c r="B29" s="42" t="s">
        <v>49</v>
      </c>
      <c r="C29" s="39" t="s">
        <v>171</v>
      </c>
      <c r="D29" s="39" t="s">
        <v>172</v>
      </c>
      <c r="E29" s="39" t="s">
        <v>66</v>
      </c>
      <c r="F29" s="39" t="s">
        <v>73</v>
      </c>
      <c r="G29" s="43" t="s">
        <v>173</v>
      </c>
      <c r="H29" s="39" t="s">
        <v>174</v>
      </c>
      <c r="I29" s="39" t="s">
        <v>175</v>
      </c>
      <c r="J29" s="39" t="s">
        <v>77</v>
      </c>
      <c r="K29" s="39" t="s">
        <v>37</v>
      </c>
      <c r="L29" s="39" t="s">
        <v>83</v>
      </c>
      <c r="M29" s="44"/>
      <c r="N29" s="39" t="s">
        <v>39</v>
      </c>
      <c r="O29" s="44"/>
      <c r="P29" s="45"/>
    </row>
    <row r="30" spans="1:16" ht="19.5" customHeight="1">
      <c r="A30" s="41" t="str">
        <f t="shared" si="0"/>
        <v>L-029</v>
      </c>
      <c r="B30" s="42" t="s">
        <v>49</v>
      </c>
      <c r="C30" s="39" t="s">
        <v>176</v>
      </c>
      <c r="D30" s="39" t="s">
        <v>177</v>
      </c>
      <c r="E30" s="39" t="s">
        <v>178</v>
      </c>
      <c r="F30" s="39" t="s">
        <v>73</v>
      </c>
      <c r="G30" s="43" t="s">
        <v>179</v>
      </c>
      <c r="H30" s="39" t="s">
        <v>180</v>
      </c>
      <c r="I30" s="39" t="s">
        <v>181</v>
      </c>
      <c r="J30" s="39" t="s">
        <v>77</v>
      </c>
      <c r="K30" s="39" t="s">
        <v>94</v>
      </c>
      <c r="L30" s="39" t="s">
        <v>83</v>
      </c>
      <c r="M30" s="44"/>
      <c r="N30" s="39" t="s">
        <v>39</v>
      </c>
      <c r="O30" s="44"/>
      <c r="P30" s="45" t="s">
        <v>182</v>
      </c>
    </row>
    <row r="31" spans="1:16" ht="19.5" customHeight="1">
      <c r="A31" s="41" t="str">
        <f t="shared" si="0"/>
        <v>L-030</v>
      </c>
      <c r="B31" s="42" t="s">
        <v>49</v>
      </c>
      <c r="C31" s="39" t="s">
        <v>183</v>
      </c>
      <c r="D31" s="46"/>
      <c r="E31" s="46"/>
      <c r="F31" s="39" t="s">
        <v>73</v>
      </c>
      <c r="G31" s="46"/>
      <c r="H31" s="39" t="s">
        <v>184</v>
      </c>
      <c r="I31" s="46"/>
      <c r="J31" s="39" t="s">
        <v>77</v>
      </c>
      <c r="K31" s="39" t="s">
        <v>97</v>
      </c>
      <c r="L31" s="39" t="s">
        <v>48</v>
      </c>
      <c r="M31" s="44"/>
      <c r="N31" s="39" t="s">
        <v>39</v>
      </c>
      <c r="O31" s="44"/>
      <c r="P31" s="45" t="s">
        <v>98</v>
      </c>
    </row>
    <row r="32" spans="1:16" ht="19.5" customHeight="1">
      <c r="A32" s="41" t="str">
        <f t="shared" si="0"/>
        <v>L-031</v>
      </c>
      <c r="B32" s="42" t="s">
        <v>49</v>
      </c>
      <c r="C32" s="39" t="s">
        <v>185</v>
      </c>
      <c r="D32" s="46"/>
      <c r="E32" s="46"/>
      <c r="F32" s="39" t="s">
        <v>73</v>
      </c>
      <c r="G32" s="46"/>
      <c r="H32" s="39" t="s">
        <v>186</v>
      </c>
      <c r="I32" s="46"/>
      <c r="J32" s="39" t="s">
        <v>77</v>
      </c>
      <c r="K32" s="39" t="s">
        <v>97</v>
      </c>
      <c r="L32" s="39" t="s">
        <v>48</v>
      </c>
      <c r="M32" s="44"/>
      <c r="N32" s="39" t="s">
        <v>39</v>
      </c>
      <c r="O32" s="44"/>
      <c r="P32" s="45" t="s">
        <v>98</v>
      </c>
    </row>
    <row r="33" spans="1:16" ht="19.5" customHeight="1">
      <c r="A33" s="41" t="str">
        <f t="shared" si="0"/>
        <v>L-032</v>
      </c>
      <c r="B33" s="42" t="s">
        <v>49</v>
      </c>
      <c r="C33" s="39" t="s">
        <v>187</v>
      </c>
      <c r="D33" s="46"/>
      <c r="E33" s="46"/>
      <c r="F33" s="39" t="s">
        <v>73</v>
      </c>
      <c r="G33" s="46"/>
      <c r="H33" s="39" t="s">
        <v>188</v>
      </c>
      <c r="I33" s="46"/>
      <c r="J33" s="39" t="s">
        <v>77</v>
      </c>
      <c r="K33" s="39" t="s">
        <v>97</v>
      </c>
      <c r="L33" s="39" t="s">
        <v>48</v>
      </c>
      <c r="M33" s="44"/>
      <c r="N33" s="39" t="s">
        <v>39</v>
      </c>
      <c r="O33" s="44"/>
      <c r="P33" s="45" t="s">
        <v>98</v>
      </c>
    </row>
    <row r="34" spans="1:16" ht="19.5" customHeight="1">
      <c r="A34" s="41" t="str">
        <f t="shared" si="0"/>
        <v>L-033</v>
      </c>
      <c r="B34" s="42" t="s">
        <v>49</v>
      </c>
      <c r="C34" s="39" t="s">
        <v>189</v>
      </c>
      <c r="D34" s="39" t="s">
        <v>190</v>
      </c>
      <c r="E34" s="39" t="s">
        <v>66</v>
      </c>
      <c r="F34" s="39" t="s">
        <v>73</v>
      </c>
      <c r="G34" s="43" t="s">
        <v>191</v>
      </c>
      <c r="H34" s="39" t="s">
        <v>192</v>
      </c>
      <c r="I34" s="39" t="s">
        <v>193</v>
      </c>
      <c r="J34" s="39" t="s">
        <v>77</v>
      </c>
      <c r="K34" s="39" t="s">
        <v>94</v>
      </c>
      <c r="L34" s="39" t="s">
        <v>83</v>
      </c>
      <c r="M34" s="44"/>
      <c r="N34" s="39" t="s">
        <v>39</v>
      </c>
      <c r="O34" s="44"/>
      <c r="P34" s="45"/>
    </row>
    <row r="35" spans="1:16" ht="19.5" customHeight="1">
      <c r="A35" s="41" t="str">
        <f t="shared" si="0"/>
        <v>L-034</v>
      </c>
      <c r="B35" s="42" t="s">
        <v>49</v>
      </c>
      <c r="C35" s="39" t="s">
        <v>194</v>
      </c>
      <c r="D35" s="39" t="s">
        <v>195</v>
      </c>
      <c r="E35" s="39" t="s">
        <v>196</v>
      </c>
      <c r="F35" s="39" t="s">
        <v>73</v>
      </c>
      <c r="G35" s="43" t="s">
        <v>197</v>
      </c>
      <c r="H35" s="39" t="s">
        <v>198</v>
      </c>
      <c r="I35" s="39" t="s">
        <v>199</v>
      </c>
      <c r="J35" s="39" t="s">
        <v>77</v>
      </c>
      <c r="K35" s="39" t="s">
        <v>94</v>
      </c>
      <c r="L35" s="39" t="s">
        <v>83</v>
      </c>
      <c r="M35" s="44"/>
      <c r="N35" s="39" t="s">
        <v>39</v>
      </c>
      <c r="O35" s="44"/>
      <c r="P35" s="45"/>
    </row>
    <row r="36" spans="1:16" ht="19.5" customHeight="1">
      <c r="A36" s="41" t="str">
        <f t="shared" si="0"/>
        <v>L-035</v>
      </c>
      <c r="B36" s="42" t="s">
        <v>49</v>
      </c>
      <c r="C36" s="39" t="s">
        <v>200</v>
      </c>
      <c r="D36" s="39" t="s">
        <v>201</v>
      </c>
      <c r="E36" s="39" t="s">
        <v>66</v>
      </c>
      <c r="F36" s="39" t="s">
        <v>73</v>
      </c>
      <c r="G36" s="43" t="s">
        <v>202</v>
      </c>
      <c r="H36" s="39" t="s">
        <v>203</v>
      </c>
      <c r="I36" s="39" t="s">
        <v>204</v>
      </c>
      <c r="J36" s="39" t="s">
        <v>77</v>
      </c>
      <c r="K36" s="39" t="s">
        <v>37</v>
      </c>
      <c r="L36" s="39" t="s">
        <v>38</v>
      </c>
      <c r="M36" s="44"/>
      <c r="N36" s="39" t="s">
        <v>39</v>
      </c>
      <c r="O36" s="44"/>
      <c r="P36" s="45"/>
    </row>
    <row r="37" spans="1:16" ht="19.5" customHeight="1">
      <c r="A37" s="41" t="str">
        <f t="shared" si="0"/>
        <v>L-036</v>
      </c>
      <c r="B37" s="42" t="s">
        <v>49</v>
      </c>
      <c r="C37" s="39" t="s">
        <v>205</v>
      </c>
      <c r="D37" s="46"/>
      <c r="E37" s="46"/>
      <c r="F37" s="39" t="s">
        <v>73</v>
      </c>
      <c r="G37" s="46"/>
      <c r="H37" s="39" t="s">
        <v>206</v>
      </c>
      <c r="I37" s="46"/>
      <c r="J37" s="39" t="s">
        <v>77</v>
      </c>
      <c r="K37" s="39" t="s">
        <v>97</v>
      </c>
      <c r="L37" s="39" t="s">
        <v>48</v>
      </c>
      <c r="M37" s="44"/>
      <c r="N37" s="39" t="s">
        <v>39</v>
      </c>
      <c r="O37" s="44"/>
      <c r="P37" s="45" t="s">
        <v>98</v>
      </c>
    </row>
    <row r="38" spans="1:16" ht="19.5" customHeight="1">
      <c r="A38" s="41" t="str">
        <f t="shared" si="0"/>
        <v>L-037</v>
      </c>
      <c r="B38" s="42" t="s">
        <v>49</v>
      </c>
      <c r="C38" s="39" t="s">
        <v>207</v>
      </c>
      <c r="D38" s="39" t="s">
        <v>208</v>
      </c>
      <c r="E38" s="39" t="s">
        <v>66</v>
      </c>
      <c r="F38" s="39" t="s">
        <v>73</v>
      </c>
      <c r="G38" s="43" t="s">
        <v>209</v>
      </c>
      <c r="H38" s="39" t="s">
        <v>210</v>
      </c>
      <c r="I38" s="39" t="s">
        <v>211</v>
      </c>
      <c r="J38" s="39" t="s">
        <v>77</v>
      </c>
      <c r="K38" s="39" t="s">
        <v>37</v>
      </c>
      <c r="L38" s="39" t="s">
        <v>38</v>
      </c>
      <c r="M38" s="44"/>
      <c r="N38" s="39" t="s">
        <v>39</v>
      </c>
      <c r="O38" s="44"/>
      <c r="P38" s="45"/>
    </row>
    <row r="39" spans="1:16" ht="19.5" customHeight="1">
      <c r="A39" s="41" t="str">
        <f t="shared" si="0"/>
        <v>L-038</v>
      </c>
      <c r="B39" s="42" t="s">
        <v>49</v>
      </c>
      <c r="C39" s="39" t="s">
        <v>212</v>
      </c>
      <c r="D39" s="39" t="s">
        <v>213</v>
      </c>
      <c r="E39" s="39" t="s">
        <v>66</v>
      </c>
      <c r="F39" s="39" t="s">
        <v>73</v>
      </c>
      <c r="G39" s="43" t="s">
        <v>214</v>
      </c>
      <c r="H39" s="39" t="s">
        <v>215</v>
      </c>
      <c r="I39" s="39" t="s">
        <v>216</v>
      </c>
      <c r="J39" s="39" t="s">
        <v>77</v>
      </c>
      <c r="K39" s="39" t="s">
        <v>47</v>
      </c>
      <c r="L39" s="39" t="s">
        <v>38</v>
      </c>
      <c r="M39" s="44"/>
      <c r="N39" s="39" t="s">
        <v>39</v>
      </c>
      <c r="O39" s="44"/>
      <c r="P39" s="45"/>
    </row>
    <row r="40" spans="1:16" ht="19.5" customHeight="1">
      <c r="A40" s="41" t="str">
        <f t="shared" si="0"/>
        <v>L-039</v>
      </c>
      <c r="B40" s="42" t="s">
        <v>49</v>
      </c>
      <c r="C40" s="39" t="s">
        <v>217</v>
      </c>
      <c r="D40" s="39" t="s">
        <v>218</v>
      </c>
      <c r="E40" s="39" t="s">
        <v>66</v>
      </c>
      <c r="F40" s="39" t="s">
        <v>73</v>
      </c>
      <c r="G40" s="43" t="s">
        <v>219</v>
      </c>
      <c r="H40" s="39" t="s">
        <v>220</v>
      </c>
      <c r="I40" s="39" t="s">
        <v>175</v>
      </c>
      <c r="J40" s="39" t="s">
        <v>77</v>
      </c>
      <c r="K40" s="39" t="s">
        <v>47</v>
      </c>
      <c r="L40" s="39" t="s">
        <v>48</v>
      </c>
      <c r="M40" s="44"/>
      <c r="N40" s="39" t="s">
        <v>39</v>
      </c>
      <c r="O40" s="44"/>
      <c r="P40" s="45" t="s">
        <v>78</v>
      </c>
    </row>
    <row r="41" spans="1:16" ht="19.5" customHeight="1">
      <c r="A41" s="41" t="str">
        <f t="shared" si="0"/>
        <v>L-040</v>
      </c>
      <c r="B41" s="42" t="s">
        <v>49</v>
      </c>
      <c r="C41" s="39" t="s">
        <v>221</v>
      </c>
      <c r="D41" s="39" t="s">
        <v>222</v>
      </c>
      <c r="E41" s="39" t="s">
        <v>66</v>
      </c>
      <c r="F41" s="39" t="s">
        <v>73</v>
      </c>
      <c r="G41" s="43" t="s">
        <v>223</v>
      </c>
      <c r="H41" s="39" t="s">
        <v>224</v>
      </c>
      <c r="I41" s="39" t="s">
        <v>225</v>
      </c>
      <c r="J41" s="39" t="s">
        <v>77</v>
      </c>
      <c r="K41" s="39" t="s">
        <v>37</v>
      </c>
      <c r="L41" s="39" t="s">
        <v>38</v>
      </c>
      <c r="M41" s="44"/>
      <c r="N41" s="39" t="s">
        <v>39</v>
      </c>
      <c r="O41" s="44"/>
      <c r="P41" s="45" t="s">
        <v>78</v>
      </c>
    </row>
    <row r="42" spans="1:16" ht="19.5" customHeight="1">
      <c r="A42" s="41" t="str">
        <f t="shared" si="0"/>
        <v>L-041</v>
      </c>
      <c r="B42" s="42" t="s">
        <v>49</v>
      </c>
      <c r="C42" s="39" t="s">
        <v>226</v>
      </c>
      <c r="D42" s="39" t="s">
        <v>227</v>
      </c>
      <c r="E42" s="39" t="s">
        <v>66</v>
      </c>
      <c r="F42" s="39" t="s">
        <v>73</v>
      </c>
      <c r="G42" s="43" t="s">
        <v>228</v>
      </c>
      <c r="H42" s="39" t="s">
        <v>229</v>
      </c>
      <c r="I42" s="39" t="s">
        <v>230</v>
      </c>
      <c r="J42" s="39" t="s">
        <v>77</v>
      </c>
      <c r="K42" s="39" t="s">
        <v>94</v>
      </c>
      <c r="L42" s="39" t="s">
        <v>83</v>
      </c>
      <c r="M42" s="44"/>
      <c r="N42" s="39" t="s">
        <v>39</v>
      </c>
      <c r="O42" s="44"/>
      <c r="P42" s="45"/>
    </row>
    <row r="43" spans="1:16" ht="19.5" customHeight="1">
      <c r="A43" s="41" t="str">
        <f t="shared" si="0"/>
        <v>L-042</v>
      </c>
      <c r="B43" s="42" t="s">
        <v>49</v>
      </c>
      <c r="C43" s="39" t="s">
        <v>231</v>
      </c>
      <c r="D43" s="39" t="s">
        <v>232</v>
      </c>
      <c r="E43" s="39" t="s">
        <v>66</v>
      </c>
      <c r="F43" s="39" t="s">
        <v>73</v>
      </c>
      <c r="G43" s="43" t="s">
        <v>233</v>
      </c>
      <c r="H43" s="39" t="s">
        <v>234</v>
      </c>
      <c r="I43" s="39" t="s">
        <v>235</v>
      </c>
      <c r="J43" s="39" t="s">
        <v>77</v>
      </c>
      <c r="K43" s="39" t="s">
        <v>94</v>
      </c>
      <c r="L43" s="39" t="s">
        <v>38</v>
      </c>
      <c r="M43" s="44"/>
      <c r="N43" s="39" t="s">
        <v>39</v>
      </c>
      <c r="O43" s="44"/>
      <c r="P43" s="45"/>
    </row>
    <row r="44" spans="1:16" ht="19.5" customHeight="1">
      <c r="A44" s="41" t="str">
        <f t="shared" si="0"/>
        <v>L-043</v>
      </c>
      <c r="B44" s="42" t="s">
        <v>49</v>
      </c>
      <c r="C44" s="39" t="s">
        <v>236</v>
      </c>
      <c r="D44" s="46"/>
      <c r="E44" s="46"/>
      <c r="F44" s="39" t="s">
        <v>73</v>
      </c>
      <c r="G44" s="46"/>
      <c r="H44" s="39" t="s">
        <v>237</v>
      </c>
      <c r="I44" s="46"/>
      <c r="J44" s="39" t="s">
        <v>77</v>
      </c>
      <c r="K44" s="39" t="s">
        <v>97</v>
      </c>
      <c r="L44" s="39" t="s">
        <v>48</v>
      </c>
      <c r="M44" s="44"/>
      <c r="N44" s="39" t="s">
        <v>39</v>
      </c>
      <c r="O44" s="44"/>
      <c r="P44" s="45" t="s">
        <v>98</v>
      </c>
    </row>
    <row r="45" spans="1:16" ht="19.5" customHeight="1">
      <c r="A45" s="41" t="str">
        <f t="shared" si="0"/>
        <v>L-044</v>
      </c>
      <c r="B45" s="42" t="s">
        <v>49</v>
      </c>
      <c r="C45" s="39" t="s">
        <v>238</v>
      </c>
      <c r="D45" s="46"/>
      <c r="E45" s="46"/>
      <c r="F45" s="39" t="s">
        <v>73</v>
      </c>
      <c r="G45" s="43" t="s">
        <v>239</v>
      </c>
      <c r="H45" s="39" t="s">
        <v>240</v>
      </c>
      <c r="I45" s="46"/>
      <c r="J45" s="39" t="s">
        <v>77</v>
      </c>
      <c r="K45" s="39" t="s">
        <v>47</v>
      </c>
      <c r="L45" s="39" t="s">
        <v>48</v>
      </c>
      <c r="M45" s="44"/>
      <c r="N45" s="39" t="s">
        <v>39</v>
      </c>
      <c r="O45" s="44"/>
      <c r="P45" s="45" t="s">
        <v>241</v>
      </c>
    </row>
    <row r="46" spans="1:16" ht="19.5" customHeight="1">
      <c r="A46" s="41" t="str">
        <f t="shared" si="0"/>
        <v>L-045</v>
      </c>
      <c r="B46" s="42" t="s">
        <v>242</v>
      </c>
      <c r="C46" s="39" t="s">
        <v>243</v>
      </c>
      <c r="D46" s="39" t="s">
        <v>244</v>
      </c>
      <c r="E46" s="39" t="s">
        <v>196</v>
      </c>
      <c r="F46" s="39" t="s">
        <v>245</v>
      </c>
      <c r="G46" s="43" t="s">
        <v>246</v>
      </c>
      <c r="H46" s="46"/>
      <c r="I46" s="39" t="s">
        <v>247</v>
      </c>
      <c r="J46" s="39" t="s">
        <v>36</v>
      </c>
      <c r="K46" s="39" t="s">
        <v>37</v>
      </c>
      <c r="L46" s="39" t="s">
        <v>38</v>
      </c>
      <c r="M46" s="44"/>
      <c r="N46" s="39" t="s">
        <v>39</v>
      </c>
      <c r="O46" s="44"/>
      <c r="P46" s="45"/>
    </row>
    <row r="47" spans="1:16" ht="19.5" customHeight="1">
      <c r="A47" s="41" t="str">
        <f t="shared" si="0"/>
        <v>L-046</v>
      </c>
      <c r="B47" s="42" t="s">
        <v>242</v>
      </c>
      <c r="C47" s="39" t="s">
        <v>248</v>
      </c>
      <c r="D47" s="39" t="s">
        <v>249</v>
      </c>
      <c r="E47" s="39" t="s">
        <v>59</v>
      </c>
      <c r="F47" s="39" t="s">
        <v>250</v>
      </c>
      <c r="G47" s="43" t="s">
        <v>251</v>
      </c>
      <c r="H47" s="39" t="s">
        <v>252</v>
      </c>
      <c r="I47" s="39" t="s">
        <v>253</v>
      </c>
      <c r="J47" s="39" t="s">
        <v>36</v>
      </c>
      <c r="K47" s="39" t="s">
        <v>47</v>
      </c>
      <c r="L47" s="39" t="s">
        <v>83</v>
      </c>
      <c r="M47" s="44"/>
      <c r="N47" s="39" t="s">
        <v>39</v>
      </c>
      <c r="O47" s="44"/>
      <c r="P47" s="45" t="s">
        <v>254</v>
      </c>
    </row>
    <row r="48" spans="1:16" ht="15.75" customHeight="1">
      <c r="A48" s="41" t="str">
        <f t="shared" si="0"/>
        <v>L-047</v>
      </c>
      <c r="B48" s="42" t="s">
        <v>255</v>
      </c>
      <c r="C48" s="46" t="s">
        <v>256</v>
      </c>
      <c r="D48" s="46" t="s">
        <v>257</v>
      </c>
      <c r="E48" s="46" t="s">
        <v>258</v>
      </c>
      <c r="F48" s="39" t="s">
        <v>259</v>
      </c>
      <c r="G48" s="48" t="s">
        <v>260</v>
      </c>
      <c r="H48" s="46" t="s">
        <v>261</v>
      </c>
      <c r="I48" s="46" t="s">
        <v>262</v>
      </c>
      <c r="J48" s="39" t="s">
        <v>263</v>
      </c>
      <c r="K48" s="39" t="s">
        <v>37</v>
      </c>
      <c r="L48" s="39" t="s">
        <v>48</v>
      </c>
      <c r="M48" s="44">
        <v>46158</v>
      </c>
      <c r="N48" s="39" t="s">
        <v>264</v>
      </c>
      <c r="O48" s="44"/>
      <c r="P48" s="45"/>
    </row>
    <row r="49" spans="1:16" ht="15.75" customHeight="1">
      <c r="A49" s="41" t="str">
        <f t="shared" si="0"/>
        <v>L-048</v>
      </c>
      <c r="B49" s="42" t="s">
        <v>49</v>
      </c>
      <c r="C49" s="46" t="s">
        <v>265</v>
      </c>
      <c r="D49" s="46" t="s">
        <v>266</v>
      </c>
      <c r="E49" s="46" t="s">
        <v>267</v>
      </c>
      <c r="F49" s="39" t="s">
        <v>268</v>
      </c>
      <c r="G49" s="49" t="s">
        <v>269</v>
      </c>
      <c r="H49" s="50" t="s">
        <v>270</v>
      </c>
      <c r="I49" s="46" t="s">
        <v>271</v>
      </c>
      <c r="J49" s="39" t="s">
        <v>77</v>
      </c>
      <c r="K49" s="39" t="s">
        <v>47</v>
      </c>
      <c r="L49" s="39" t="s">
        <v>48</v>
      </c>
      <c r="M49" s="44"/>
      <c r="N49" s="39" t="s">
        <v>39</v>
      </c>
      <c r="O49" s="44"/>
      <c r="P49" s="45" t="s">
        <v>272</v>
      </c>
    </row>
    <row r="50" spans="1:16" ht="15.75" customHeight="1">
      <c r="A50" s="41" t="str">
        <f t="shared" si="0"/>
        <v>L-049</v>
      </c>
      <c r="B50" s="42" t="s">
        <v>49</v>
      </c>
      <c r="C50" s="46" t="s">
        <v>273</v>
      </c>
      <c r="D50" s="46" t="s">
        <v>274</v>
      </c>
      <c r="E50" s="46" t="s">
        <v>275</v>
      </c>
      <c r="F50" s="39" t="s">
        <v>268</v>
      </c>
      <c r="G50" s="51" t="s">
        <v>276</v>
      </c>
      <c r="H50" s="46" t="s">
        <v>277</v>
      </c>
      <c r="I50" s="51" t="s">
        <v>278</v>
      </c>
      <c r="J50" s="39" t="s">
        <v>77</v>
      </c>
      <c r="K50" s="39" t="s">
        <v>279</v>
      </c>
      <c r="L50" s="39" t="s">
        <v>83</v>
      </c>
      <c r="M50" s="44"/>
      <c r="N50" s="39" t="s">
        <v>39</v>
      </c>
      <c r="O50" s="44"/>
      <c r="P50" s="45" t="s">
        <v>280</v>
      </c>
    </row>
    <row r="51" spans="1:16" ht="15.75" customHeight="1">
      <c r="A51" s="41" t="str">
        <f t="shared" si="0"/>
        <v>L-050</v>
      </c>
      <c r="B51" s="42" t="s">
        <v>49</v>
      </c>
      <c r="C51" s="52" t="s">
        <v>281</v>
      </c>
      <c r="D51" s="52" t="s">
        <v>282</v>
      </c>
      <c r="E51" s="53" t="s">
        <v>283</v>
      </c>
      <c r="F51" s="39" t="s">
        <v>268</v>
      </c>
      <c r="G51" s="48" t="s">
        <v>284</v>
      </c>
      <c r="H51" s="46" t="s">
        <v>285</v>
      </c>
      <c r="I51" s="51" t="s">
        <v>286</v>
      </c>
      <c r="J51" s="39" t="s">
        <v>77</v>
      </c>
      <c r="K51" s="39" t="s">
        <v>94</v>
      </c>
      <c r="L51" s="39" t="s">
        <v>38</v>
      </c>
      <c r="M51" s="44"/>
      <c r="N51" s="39" t="s">
        <v>39</v>
      </c>
      <c r="O51" s="44"/>
      <c r="P51" s="45" t="s">
        <v>287</v>
      </c>
    </row>
    <row r="52" spans="1:16" ht="15.75" customHeight="1">
      <c r="A52" s="41" t="str">
        <f t="shared" si="0"/>
        <v>L-051</v>
      </c>
      <c r="B52" s="42" t="s">
        <v>49</v>
      </c>
      <c r="C52" s="46" t="s">
        <v>288</v>
      </c>
      <c r="D52" s="46" t="s">
        <v>289</v>
      </c>
      <c r="E52" s="46" t="s">
        <v>267</v>
      </c>
      <c r="F52" s="39" t="s">
        <v>268</v>
      </c>
      <c r="G52" s="48" t="s">
        <v>290</v>
      </c>
      <c r="H52" s="46" t="s">
        <v>291</v>
      </c>
      <c r="I52" s="51" t="s">
        <v>292</v>
      </c>
      <c r="J52" s="39" t="s">
        <v>77</v>
      </c>
      <c r="K52" s="39" t="s">
        <v>94</v>
      </c>
      <c r="L52" s="39" t="s">
        <v>83</v>
      </c>
      <c r="M52" s="44"/>
      <c r="N52" s="39" t="s">
        <v>39</v>
      </c>
      <c r="O52" s="44"/>
      <c r="P52" s="45" t="s">
        <v>293</v>
      </c>
    </row>
    <row r="53" spans="1:16" ht="15.75" customHeight="1">
      <c r="A53" s="41" t="str">
        <f t="shared" si="0"/>
        <v>L-052</v>
      </c>
      <c r="B53" s="42" t="s">
        <v>49</v>
      </c>
      <c r="C53" s="46" t="s">
        <v>294</v>
      </c>
      <c r="D53" s="46" t="s">
        <v>295</v>
      </c>
      <c r="E53" s="46" t="s">
        <v>267</v>
      </c>
      <c r="F53" s="39" t="s">
        <v>268</v>
      </c>
      <c r="G53" s="48" t="s">
        <v>296</v>
      </c>
      <c r="H53" s="46" t="s">
        <v>297</v>
      </c>
      <c r="I53" s="46" t="s">
        <v>298</v>
      </c>
      <c r="J53" s="39" t="s">
        <v>77</v>
      </c>
      <c r="K53" s="39" t="s">
        <v>279</v>
      </c>
      <c r="L53" s="39" t="s">
        <v>83</v>
      </c>
      <c r="M53" s="44"/>
      <c r="N53" s="39" t="s">
        <v>39</v>
      </c>
      <c r="O53" s="44"/>
      <c r="P53" s="45" t="s">
        <v>299</v>
      </c>
    </row>
    <row r="54" spans="1:16" ht="15.75" customHeight="1">
      <c r="A54" s="41" t="str">
        <f t="shared" si="0"/>
        <v>L-053</v>
      </c>
      <c r="B54" s="42" t="s">
        <v>49</v>
      </c>
      <c r="C54" s="54" t="s">
        <v>300</v>
      </c>
      <c r="D54" s="46" t="s">
        <v>301</v>
      </c>
      <c r="E54" s="46"/>
      <c r="F54" s="39" t="s">
        <v>268</v>
      </c>
      <c r="G54" s="46"/>
      <c r="H54" s="46" t="s">
        <v>302</v>
      </c>
      <c r="I54" s="46"/>
      <c r="J54" s="39" t="s">
        <v>77</v>
      </c>
      <c r="K54" s="39" t="s">
        <v>97</v>
      </c>
      <c r="L54" s="39" t="s">
        <v>48</v>
      </c>
      <c r="M54" s="44"/>
      <c r="N54" s="39" t="s">
        <v>39</v>
      </c>
      <c r="O54" s="44"/>
      <c r="P54" s="45" t="s">
        <v>303</v>
      </c>
    </row>
    <row r="55" spans="1:16" ht="15.75" customHeight="1">
      <c r="A55" s="41" t="str">
        <f t="shared" si="0"/>
        <v>L-054</v>
      </c>
      <c r="B55" s="42" t="s">
        <v>49</v>
      </c>
      <c r="C55" s="46" t="s">
        <v>304</v>
      </c>
      <c r="D55" s="46" t="s">
        <v>305</v>
      </c>
      <c r="E55" s="46" t="s">
        <v>306</v>
      </c>
      <c r="F55" s="39" t="s">
        <v>268</v>
      </c>
      <c r="G55" s="48" t="s">
        <v>307</v>
      </c>
      <c r="H55" s="46" t="s">
        <v>308</v>
      </c>
      <c r="I55" s="46" t="s">
        <v>309</v>
      </c>
      <c r="J55" s="39" t="s">
        <v>77</v>
      </c>
      <c r="K55" s="39" t="s">
        <v>94</v>
      </c>
      <c r="L55" s="39" t="s">
        <v>38</v>
      </c>
      <c r="M55" s="44"/>
      <c r="N55" s="39" t="s">
        <v>39</v>
      </c>
      <c r="O55" s="44"/>
      <c r="P55" s="45" t="s">
        <v>310</v>
      </c>
    </row>
    <row r="56" spans="1:16" ht="15.75" customHeight="1">
      <c r="A56" s="41" t="str">
        <f t="shared" si="0"/>
        <v>L-055</v>
      </c>
      <c r="B56" s="42" t="s">
        <v>49</v>
      </c>
      <c r="C56" s="46" t="s">
        <v>311</v>
      </c>
      <c r="D56" s="46" t="s">
        <v>312</v>
      </c>
      <c r="E56" s="46"/>
      <c r="F56" s="39" t="s">
        <v>268</v>
      </c>
      <c r="G56" s="55" t="s">
        <v>313</v>
      </c>
      <c r="H56" s="46" t="s">
        <v>314</v>
      </c>
      <c r="I56" s="51" t="s">
        <v>315</v>
      </c>
      <c r="J56" s="39" t="s">
        <v>77</v>
      </c>
      <c r="K56" s="39" t="s">
        <v>316</v>
      </c>
      <c r="L56" s="39" t="s">
        <v>83</v>
      </c>
      <c r="M56" s="44"/>
      <c r="N56" s="39" t="s">
        <v>39</v>
      </c>
      <c r="O56" s="44"/>
      <c r="P56" s="45"/>
    </row>
    <row r="57" spans="1:16" ht="15.75" customHeight="1">
      <c r="A57" s="41" t="str">
        <f t="shared" si="0"/>
        <v>L-056</v>
      </c>
      <c r="B57" s="42" t="s">
        <v>49</v>
      </c>
      <c r="C57" s="46" t="s">
        <v>317</v>
      </c>
      <c r="D57" s="46" t="s">
        <v>318</v>
      </c>
      <c r="E57" s="46"/>
      <c r="F57" s="39" t="s">
        <v>268</v>
      </c>
      <c r="G57" s="48" t="s">
        <v>319</v>
      </c>
      <c r="H57" s="46" t="s">
        <v>320</v>
      </c>
      <c r="I57" s="56" t="s">
        <v>321</v>
      </c>
      <c r="J57" s="39" t="s">
        <v>77</v>
      </c>
      <c r="K57" s="39" t="s">
        <v>316</v>
      </c>
      <c r="L57" s="39" t="s">
        <v>83</v>
      </c>
      <c r="M57" s="44"/>
      <c r="N57" s="39" t="s">
        <v>39</v>
      </c>
      <c r="O57" s="44"/>
      <c r="P57" s="45"/>
    </row>
    <row r="58" spans="1:16" ht="15.75" customHeight="1">
      <c r="A58" s="41" t="str">
        <f t="shared" si="0"/>
        <v>L-057</v>
      </c>
      <c r="B58" s="42" t="s">
        <v>49</v>
      </c>
      <c r="C58" s="46" t="s">
        <v>322</v>
      </c>
      <c r="D58" s="46" t="s">
        <v>323</v>
      </c>
      <c r="E58" s="46"/>
      <c r="F58" s="39" t="s">
        <v>268</v>
      </c>
      <c r="G58" s="48" t="s">
        <v>324</v>
      </c>
      <c r="H58" s="46" t="s">
        <v>325</v>
      </c>
      <c r="I58" s="55" t="s">
        <v>326</v>
      </c>
      <c r="J58" s="39" t="s">
        <v>77</v>
      </c>
      <c r="K58" s="39" t="s">
        <v>316</v>
      </c>
      <c r="L58" s="39" t="s">
        <v>83</v>
      </c>
      <c r="M58" s="44"/>
      <c r="N58" s="39" t="s">
        <v>39</v>
      </c>
      <c r="O58" s="44"/>
      <c r="P58" s="45"/>
    </row>
    <row r="59" spans="1:16" ht="15.75" customHeight="1">
      <c r="A59" s="41" t="str">
        <f t="shared" si="0"/>
        <v>L-058</v>
      </c>
      <c r="B59" s="42" t="s">
        <v>49</v>
      </c>
      <c r="C59" s="46" t="s">
        <v>327</v>
      </c>
      <c r="D59" s="46" t="s">
        <v>328</v>
      </c>
      <c r="E59" s="46" t="s">
        <v>329</v>
      </c>
      <c r="F59" s="39" t="s">
        <v>268</v>
      </c>
      <c r="G59" s="57" t="s">
        <v>330</v>
      </c>
      <c r="H59" s="46" t="s">
        <v>331</v>
      </c>
      <c r="I59" s="46" t="s">
        <v>332</v>
      </c>
      <c r="J59" s="39" t="s">
        <v>77</v>
      </c>
      <c r="K59" s="39" t="s">
        <v>94</v>
      </c>
      <c r="L59" s="39" t="s">
        <v>38</v>
      </c>
      <c r="M59" s="44"/>
      <c r="N59" s="39" t="s">
        <v>39</v>
      </c>
      <c r="O59" s="44"/>
      <c r="P59" s="45"/>
    </row>
    <row r="60" spans="1:16" ht="15.75" customHeight="1">
      <c r="A60" s="41" t="str">
        <f t="shared" si="0"/>
        <v>L-059</v>
      </c>
      <c r="B60" s="42" t="s">
        <v>49</v>
      </c>
      <c r="C60" s="46" t="s">
        <v>333</v>
      </c>
      <c r="D60" s="46" t="s">
        <v>334</v>
      </c>
      <c r="E60" s="46" t="s">
        <v>267</v>
      </c>
      <c r="F60" s="39" t="s">
        <v>268</v>
      </c>
      <c r="G60" s="48" t="s">
        <v>335</v>
      </c>
      <c r="H60" s="46" t="s">
        <v>336</v>
      </c>
      <c r="I60" s="58" t="s">
        <v>337</v>
      </c>
      <c r="J60" s="39" t="s">
        <v>77</v>
      </c>
      <c r="K60" s="39" t="s">
        <v>94</v>
      </c>
      <c r="L60" s="39" t="s">
        <v>83</v>
      </c>
      <c r="M60" s="44"/>
      <c r="N60" s="39" t="s">
        <v>39</v>
      </c>
      <c r="O60" s="44"/>
      <c r="P60" s="45"/>
    </row>
    <row r="61" spans="1:16" ht="15.75" customHeight="1">
      <c r="A61" s="41" t="str">
        <f t="shared" si="0"/>
        <v>L-060</v>
      </c>
      <c r="B61" s="42" t="s">
        <v>49</v>
      </c>
      <c r="C61" s="46" t="s">
        <v>338</v>
      </c>
      <c r="D61" s="46" t="s">
        <v>339</v>
      </c>
      <c r="E61" s="46" t="s">
        <v>340</v>
      </c>
      <c r="F61" s="39" t="s">
        <v>268</v>
      </c>
      <c r="G61" s="49" t="s">
        <v>341</v>
      </c>
      <c r="H61" s="46" t="s">
        <v>342</v>
      </c>
      <c r="I61" s="59" t="s">
        <v>343</v>
      </c>
      <c r="J61" s="39" t="s">
        <v>77</v>
      </c>
      <c r="K61" s="39" t="s">
        <v>94</v>
      </c>
      <c r="L61" s="39" t="s">
        <v>38</v>
      </c>
      <c r="M61" s="44"/>
      <c r="N61" s="39" t="s">
        <v>39</v>
      </c>
      <c r="O61" s="44"/>
      <c r="P61" s="45"/>
    </row>
    <row r="62" spans="1:16" ht="15.75" customHeight="1">
      <c r="A62" s="41" t="str">
        <f t="shared" si="0"/>
        <v>L-061</v>
      </c>
      <c r="B62" s="42" t="s">
        <v>49</v>
      </c>
      <c r="C62" s="46" t="s">
        <v>344</v>
      </c>
      <c r="D62" s="46" t="s">
        <v>345</v>
      </c>
      <c r="E62" s="46"/>
      <c r="F62" s="39" t="s">
        <v>268</v>
      </c>
      <c r="G62" s="55" t="s">
        <v>346</v>
      </c>
      <c r="H62" s="46" t="s">
        <v>347</v>
      </c>
      <c r="I62" s="51" t="s">
        <v>348</v>
      </c>
      <c r="J62" s="39" t="s">
        <v>77</v>
      </c>
      <c r="K62" s="39" t="s">
        <v>94</v>
      </c>
      <c r="L62" s="39" t="s">
        <v>38</v>
      </c>
      <c r="M62" s="44"/>
      <c r="N62" s="39" t="s">
        <v>39</v>
      </c>
      <c r="O62" s="44"/>
      <c r="P62" s="45" t="s">
        <v>299</v>
      </c>
    </row>
    <row r="63" spans="1:16" ht="15.75" customHeight="1">
      <c r="A63" s="41" t="str">
        <f t="shared" si="0"/>
        <v>L-062</v>
      </c>
      <c r="B63" s="42" t="s">
        <v>49</v>
      </c>
      <c r="C63" s="46" t="s">
        <v>349</v>
      </c>
      <c r="D63" s="46" t="s">
        <v>350</v>
      </c>
      <c r="E63" s="46" t="s">
        <v>351</v>
      </c>
      <c r="F63" s="39" t="s">
        <v>268</v>
      </c>
      <c r="G63" s="48" t="s">
        <v>352</v>
      </c>
      <c r="H63" s="46" t="s">
        <v>353</v>
      </c>
      <c r="I63" s="60" t="s">
        <v>354</v>
      </c>
      <c r="J63" s="39" t="s">
        <v>77</v>
      </c>
      <c r="K63" s="39" t="s">
        <v>94</v>
      </c>
      <c r="L63" s="39" t="s">
        <v>38</v>
      </c>
      <c r="M63" s="44"/>
      <c r="N63" s="39" t="s">
        <v>39</v>
      </c>
      <c r="O63" s="44"/>
      <c r="P63" s="45"/>
    </row>
    <row r="64" spans="1:16" ht="15.75" customHeight="1">
      <c r="A64" s="41" t="str">
        <f t="shared" si="0"/>
        <v>L-063</v>
      </c>
      <c r="B64" s="42" t="s">
        <v>49</v>
      </c>
      <c r="C64" s="46" t="s">
        <v>355</v>
      </c>
      <c r="D64" s="46"/>
      <c r="E64" s="46"/>
      <c r="F64" s="39" t="s">
        <v>268</v>
      </c>
      <c r="G64" s="49" t="s">
        <v>356</v>
      </c>
      <c r="H64" s="46" t="s">
        <v>357</v>
      </c>
      <c r="I64" s="46"/>
      <c r="J64" s="39" t="s">
        <v>77</v>
      </c>
      <c r="K64" s="39" t="s">
        <v>97</v>
      </c>
      <c r="L64" s="39" t="s">
        <v>48</v>
      </c>
      <c r="M64" s="44"/>
      <c r="N64" s="39" t="s">
        <v>39</v>
      </c>
      <c r="O64" s="44"/>
      <c r="P64" s="45"/>
    </row>
    <row r="65" spans="1:16" ht="15.75" customHeight="1">
      <c r="A65" s="41" t="str">
        <f t="shared" si="0"/>
        <v>L-064</v>
      </c>
      <c r="B65" s="42" t="s">
        <v>49</v>
      </c>
      <c r="C65" s="46" t="s">
        <v>358</v>
      </c>
      <c r="D65" s="46" t="s">
        <v>359</v>
      </c>
      <c r="E65" s="46" t="s">
        <v>59</v>
      </c>
      <c r="F65" s="39" t="s">
        <v>268</v>
      </c>
      <c r="G65" s="48" t="s">
        <v>360</v>
      </c>
      <c r="H65" s="46" t="s">
        <v>361</v>
      </c>
      <c r="I65" s="55" t="s">
        <v>362</v>
      </c>
      <c r="J65" s="39" t="s">
        <v>77</v>
      </c>
      <c r="K65" s="39" t="s">
        <v>94</v>
      </c>
      <c r="L65" s="39" t="s">
        <v>38</v>
      </c>
      <c r="M65" s="44"/>
      <c r="N65" s="39" t="s">
        <v>39</v>
      </c>
      <c r="O65" s="44"/>
      <c r="P65" s="45"/>
    </row>
    <row r="66" spans="1:16" ht="15.75" customHeight="1">
      <c r="A66" s="41" t="str">
        <f t="shared" si="0"/>
        <v>L-065</v>
      </c>
      <c r="B66" s="42" t="s">
        <v>49</v>
      </c>
      <c r="C66" s="46" t="s">
        <v>363</v>
      </c>
      <c r="D66" s="46" t="s">
        <v>364</v>
      </c>
      <c r="E66" s="46"/>
      <c r="F66" s="39" t="s">
        <v>268</v>
      </c>
      <c r="G66" s="48" t="s">
        <v>365</v>
      </c>
      <c r="H66" s="46" t="s">
        <v>366</v>
      </c>
      <c r="I66" s="61" t="s">
        <v>367</v>
      </c>
      <c r="J66" s="39" t="s">
        <v>77</v>
      </c>
      <c r="K66" s="39" t="s">
        <v>37</v>
      </c>
      <c r="L66" s="39" t="s">
        <v>48</v>
      </c>
      <c r="M66" s="44"/>
      <c r="N66" s="39" t="s">
        <v>39</v>
      </c>
      <c r="O66" s="44"/>
      <c r="P66" s="45"/>
    </row>
    <row r="67" spans="1:16" ht="15.75" customHeight="1">
      <c r="A67" s="41" t="str">
        <f t="shared" si="0"/>
        <v>L-066</v>
      </c>
      <c r="B67" s="42" t="s">
        <v>49</v>
      </c>
      <c r="C67" s="46" t="s">
        <v>368</v>
      </c>
      <c r="D67" s="46" t="s">
        <v>369</v>
      </c>
      <c r="E67" s="46" t="s">
        <v>267</v>
      </c>
      <c r="F67" s="39" t="s">
        <v>268</v>
      </c>
      <c r="G67" s="57" t="s">
        <v>370</v>
      </c>
      <c r="H67" s="46" t="s">
        <v>371</v>
      </c>
      <c r="I67" s="46" t="s">
        <v>372</v>
      </c>
      <c r="J67" s="39" t="s">
        <v>77</v>
      </c>
      <c r="K67" s="39" t="s">
        <v>37</v>
      </c>
      <c r="L67" s="39" t="s">
        <v>48</v>
      </c>
      <c r="M67" s="44"/>
      <c r="N67" s="39" t="s">
        <v>39</v>
      </c>
      <c r="O67" s="44"/>
      <c r="P67" s="45" t="s">
        <v>373</v>
      </c>
    </row>
    <row r="68" spans="1:16" ht="15.75" customHeight="1">
      <c r="A68" s="41" t="str">
        <f t="shared" si="0"/>
        <v>L-067</v>
      </c>
      <c r="B68" s="42" t="s">
        <v>49</v>
      </c>
      <c r="C68" s="46" t="s">
        <v>374</v>
      </c>
      <c r="D68" s="46"/>
      <c r="E68" s="46" t="s">
        <v>375</v>
      </c>
      <c r="F68" s="39" t="s">
        <v>268</v>
      </c>
      <c r="G68" s="49" t="s">
        <v>376</v>
      </c>
      <c r="H68" s="46" t="s">
        <v>377</v>
      </c>
      <c r="I68" s="62" t="s">
        <v>378</v>
      </c>
      <c r="J68" s="39" t="s">
        <v>77</v>
      </c>
      <c r="K68" s="39" t="s">
        <v>37</v>
      </c>
      <c r="L68" s="39" t="s">
        <v>38</v>
      </c>
      <c r="M68" s="44"/>
      <c r="N68" s="39" t="s">
        <v>39</v>
      </c>
      <c r="O68" s="44"/>
      <c r="P68" s="45"/>
    </row>
    <row r="69" spans="1:16" ht="15.75" customHeight="1">
      <c r="A69" s="41" t="str">
        <f t="shared" si="0"/>
        <v>L-068</v>
      </c>
      <c r="B69" s="42" t="s">
        <v>49</v>
      </c>
      <c r="C69" s="46" t="s">
        <v>379</v>
      </c>
      <c r="D69" s="46"/>
      <c r="E69" s="46"/>
      <c r="F69" s="39" t="s">
        <v>268</v>
      </c>
      <c r="G69" s="49" t="s">
        <v>380</v>
      </c>
      <c r="H69" s="46" t="s">
        <v>381</v>
      </c>
      <c r="I69" s="50" t="s">
        <v>382</v>
      </c>
      <c r="J69" s="39" t="s">
        <v>77</v>
      </c>
      <c r="K69" s="39" t="s">
        <v>47</v>
      </c>
      <c r="L69" s="39" t="s">
        <v>48</v>
      </c>
      <c r="M69" s="44"/>
      <c r="N69" s="39" t="s">
        <v>39</v>
      </c>
      <c r="O69" s="44"/>
      <c r="P69" s="45" t="s">
        <v>383</v>
      </c>
    </row>
    <row r="70" spans="1:16" ht="15.75" customHeight="1">
      <c r="A70" s="41" t="str">
        <f t="shared" si="0"/>
        <v>L-069</v>
      </c>
      <c r="B70" s="42" t="s">
        <v>49</v>
      </c>
      <c r="C70" s="46" t="s">
        <v>384</v>
      </c>
      <c r="D70" s="63" t="s">
        <v>385</v>
      </c>
      <c r="E70" s="63" t="s">
        <v>386</v>
      </c>
      <c r="F70" s="39" t="s">
        <v>268</v>
      </c>
      <c r="G70" s="48" t="s">
        <v>387</v>
      </c>
      <c r="H70" s="46" t="s">
        <v>388</v>
      </c>
      <c r="I70" s="55" t="s">
        <v>389</v>
      </c>
      <c r="J70" s="39" t="s">
        <v>77</v>
      </c>
      <c r="K70" s="39" t="s">
        <v>94</v>
      </c>
      <c r="L70" s="39" t="s">
        <v>38</v>
      </c>
      <c r="M70" s="44"/>
      <c r="N70" s="39" t="s">
        <v>39</v>
      </c>
      <c r="O70" s="44"/>
      <c r="P70" s="45" t="s">
        <v>390</v>
      </c>
    </row>
    <row r="71" spans="1:16" ht="15.75" customHeight="1">
      <c r="A71" s="41" t="str">
        <f t="shared" si="0"/>
        <v>L-070</v>
      </c>
      <c r="B71" s="42" t="s">
        <v>49</v>
      </c>
      <c r="C71" s="46" t="s">
        <v>391</v>
      </c>
      <c r="D71" s="46" t="s">
        <v>392</v>
      </c>
      <c r="E71" s="46" t="s">
        <v>267</v>
      </c>
      <c r="F71" s="39" t="s">
        <v>268</v>
      </c>
      <c r="G71" s="48" t="s">
        <v>393</v>
      </c>
      <c r="H71" s="46" t="s">
        <v>394</v>
      </c>
      <c r="I71" s="64" t="s">
        <v>395</v>
      </c>
      <c r="J71" s="39" t="s">
        <v>77</v>
      </c>
      <c r="K71" s="39" t="s">
        <v>37</v>
      </c>
      <c r="L71" s="39" t="s">
        <v>48</v>
      </c>
      <c r="M71" s="44"/>
      <c r="N71" s="39" t="s">
        <v>39</v>
      </c>
      <c r="O71" s="44"/>
      <c r="P71" s="45" t="s">
        <v>396</v>
      </c>
    </row>
    <row r="72" spans="1:16" ht="15.75" customHeight="1">
      <c r="A72" s="41" t="str">
        <f t="shared" si="0"/>
        <v>L-071</v>
      </c>
      <c r="B72" s="42" t="s">
        <v>49</v>
      </c>
      <c r="C72" s="46" t="s">
        <v>397</v>
      </c>
      <c r="D72" s="46" t="s">
        <v>398</v>
      </c>
      <c r="E72" s="46"/>
      <c r="F72" s="39" t="s">
        <v>268</v>
      </c>
      <c r="G72" s="55" t="s">
        <v>399</v>
      </c>
      <c r="H72" s="46" t="s">
        <v>400</v>
      </c>
      <c r="I72" s="65" t="s">
        <v>401</v>
      </c>
      <c r="J72" s="39" t="s">
        <v>77</v>
      </c>
      <c r="K72" s="39" t="s">
        <v>37</v>
      </c>
      <c r="L72" s="39" t="s">
        <v>48</v>
      </c>
      <c r="M72" s="44"/>
      <c r="N72" s="39" t="s">
        <v>39</v>
      </c>
      <c r="O72" s="44"/>
      <c r="P72" s="45" t="s">
        <v>402</v>
      </c>
    </row>
    <row r="73" spans="1:16" ht="15.75" customHeight="1">
      <c r="A73" s="41" t="str">
        <f t="shared" si="0"/>
        <v>L-072</v>
      </c>
      <c r="B73" s="42" t="s">
        <v>49</v>
      </c>
      <c r="C73" s="46" t="s">
        <v>403</v>
      </c>
      <c r="D73" s="46" t="s">
        <v>404</v>
      </c>
      <c r="E73" s="46"/>
      <c r="F73" s="39" t="s">
        <v>268</v>
      </c>
      <c r="G73" s="48" t="s">
        <v>405</v>
      </c>
      <c r="H73" s="46" t="s">
        <v>406</v>
      </c>
      <c r="I73" s="66" t="s">
        <v>407</v>
      </c>
      <c r="J73" s="39" t="s">
        <v>77</v>
      </c>
      <c r="K73" s="39" t="s">
        <v>47</v>
      </c>
      <c r="L73" s="39" t="s">
        <v>48</v>
      </c>
      <c r="M73" s="44"/>
      <c r="N73" s="39" t="s">
        <v>39</v>
      </c>
      <c r="O73" s="44"/>
      <c r="P73" s="45" t="s">
        <v>390</v>
      </c>
    </row>
    <row r="74" spans="1:16" ht="15.75" customHeight="1">
      <c r="A74" s="41" t="str">
        <f t="shared" si="0"/>
        <v>L-073</v>
      </c>
      <c r="B74" s="42" t="s">
        <v>49</v>
      </c>
      <c r="C74" s="46" t="s">
        <v>408</v>
      </c>
      <c r="D74" s="46" t="s">
        <v>409</v>
      </c>
      <c r="E74" s="46" t="s">
        <v>42</v>
      </c>
      <c r="F74" s="39" t="s">
        <v>268</v>
      </c>
      <c r="G74" s="48" t="s">
        <v>410</v>
      </c>
      <c r="H74" s="46" t="s">
        <v>411</v>
      </c>
      <c r="I74" s="46" t="s">
        <v>412</v>
      </c>
      <c r="J74" s="39" t="s">
        <v>77</v>
      </c>
      <c r="K74" s="39" t="s">
        <v>37</v>
      </c>
      <c r="L74" s="39" t="s">
        <v>48</v>
      </c>
      <c r="M74" s="44"/>
      <c r="N74" s="39" t="s">
        <v>39</v>
      </c>
      <c r="O74" s="44"/>
      <c r="P74" s="45"/>
    </row>
    <row r="75" spans="1:16" ht="15.75" customHeight="1">
      <c r="A75" s="41" t="str">
        <f t="shared" si="0"/>
        <v>L-074</v>
      </c>
      <c r="B75" s="42" t="s">
        <v>49</v>
      </c>
      <c r="C75" s="46" t="s">
        <v>413</v>
      </c>
      <c r="D75" s="46" t="s">
        <v>414</v>
      </c>
      <c r="E75" s="46"/>
      <c r="F75" s="39" t="s">
        <v>268</v>
      </c>
      <c r="G75" s="55" t="s">
        <v>415</v>
      </c>
      <c r="H75" s="46" t="s">
        <v>416</v>
      </c>
      <c r="I75" s="55" t="s">
        <v>417</v>
      </c>
      <c r="J75" s="39" t="s">
        <v>77</v>
      </c>
      <c r="K75" s="39" t="s">
        <v>47</v>
      </c>
      <c r="L75" s="39" t="s">
        <v>48</v>
      </c>
      <c r="M75" s="44"/>
      <c r="N75" s="39" t="s">
        <v>39</v>
      </c>
      <c r="O75" s="44"/>
      <c r="P75" s="45" t="s">
        <v>418</v>
      </c>
    </row>
    <row r="76" spans="1:16" ht="15.75" customHeight="1">
      <c r="A76" s="41" t="str">
        <f t="shared" si="0"/>
        <v>L-075</v>
      </c>
      <c r="B76" s="42" t="s">
        <v>49</v>
      </c>
      <c r="C76" s="46" t="s">
        <v>419</v>
      </c>
      <c r="D76" s="46" t="s">
        <v>420</v>
      </c>
      <c r="E76" s="46"/>
      <c r="F76" s="39" t="s">
        <v>268</v>
      </c>
      <c r="G76" s="55" t="s">
        <v>421</v>
      </c>
      <c r="H76" s="46" t="s">
        <v>422</v>
      </c>
      <c r="I76" s="46" t="s">
        <v>423</v>
      </c>
      <c r="J76" s="39" t="s">
        <v>77</v>
      </c>
      <c r="K76" s="39" t="s">
        <v>37</v>
      </c>
      <c r="L76" s="39" t="s">
        <v>48</v>
      </c>
      <c r="M76" s="44"/>
      <c r="N76" s="39" t="s">
        <v>39</v>
      </c>
      <c r="O76" s="44"/>
      <c r="P76" s="45"/>
    </row>
    <row r="77" spans="1:16" ht="15.75" customHeight="1">
      <c r="A77" s="41" t="str">
        <f t="shared" si="0"/>
        <v>L-076</v>
      </c>
      <c r="B77" s="42" t="s">
        <v>49</v>
      </c>
      <c r="C77" s="46" t="s">
        <v>424</v>
      </c>
      <c r="D77" s="46" t="s">
        <v>425</v>
      </c>
      <c r="E77" s="46"/>
      <c r="F77" s="39" t="s">
        <v>268</v>
      </c>
      <c r="G77" s="48" t="s">
        <v>426</v>
      </c>
      <c r="H77" s="46" t="s">
        <v>427</v>
      </c>
      <c r="I77" s="67" t="s">
        <v>428</v>
      </c>
      <c r="J77" s="39" t="s">
        <v>77</v>
      </c>
      <c r="K77" s="39" t="s">
        <v>94</v>
      </c>
      <c r="L77" s="39" t="s">
        <v>83</v>
      </c>
      <c r="M77" s="44"/>
      <c r="N77" s="39" t="s">
        <v>39</v>
      </c>
      <c r="O77" s="44"/>
      <c r="P77" s="45"/>
    </row>
    <row r="78" spans="1:16" ht="15.75" customHeight="1">
      <c r="A78" s="41" t="str">
        <f t="shared" si="0"/>
        <v>L-077</v>
      </c>
      <c r="B78" s="42" t="s">
        <v>49</v>
      </c>
      <c r="C78" s="50" t="s">
        <v>429</v>
      </c>
      <c r="D78" s="46" t="s">
        <v>430</v>
      </c>
      <c r="E78" s="46"/>
      <c r="F78" s="39" t="s">
        <v>268</v>
      </c>
      <c r="G78" s="48" t="s">
        <v>431</v>
      </c>
      <c r="H78" s="46" t="s">
        <v>432</v>
      </c>
      <c r="I78" s="68" t="s">
        <v>433</v>
      </c>
      <c r="J78" s="39" t="s">
        <v>77</v>
      </c>
      <c r="K78" s="39" t="s">
        <v>37</v>
      </c>
      <c r="L78" s="39" t="s">
        <v>48</v>
      </c>
      <c r="M78" s="44"/>
      <c r="N78" s="39" t="s">
        <v>39</v>
      </c>
      <c r="O78" s="44"/>
      <c r="P78" s="45"/>
    </row>
    <row r="79" spans="1:16" ht="15.75" customHeight="1">
      <c r="A79" s="41" t="str">
        <f t="shared" si="0"/>
        <v>L-078</v>
      </c>
      <c r="B79" s="42" t="s">
        <v>49</v>
      </c>
      <c r="C79" s="46" t="s">
        <v>434</v>
      </c>
      <c r="D79" s="46" t="s">
        <v>434</v>
      </c>
      <c r="E79" s="46" t="s">
        <v>435</v>
      </c>
      <c r="F79" s="39" t="s">
        <v>268</v>
      </c>
      <c r="G79" s="48" t="s">
        <v>436</v>
      </c>
      <c r="H79" s="46" t="s">
        <v>437</v>
      </c>
      <c r="I79" s="69" t="s">
        <v>438</v>
      </c>
      <c r="J79" s="39" t="s">
        <v>77</v>
      </c>
      <c r="K79" s="39" t="s">
        <v>47</v>
      </c>
      <c r="L79" s="39" t="s">
        <v>48</v>
      </c>
      <c r="M79" s="44"/>
      <c r="N79" s="39" t="s">
        <v>39</v>
      </c>
      <c r="O79" s="44"/>
      <c r="P79" s="45"/>
    </row>
    <row r="80" spans="1:16" ht="15.75" customHeight="1">
      <c r="A80" s="41" t="str">
        <f t="shared" si="0"/>
        <v>L-079</v>
      </c>
      <c r="B80" s="42" t="s">
        <v>49</v>
      </c>
      <c r="C80" s="46" t="s">
        <v>439</v>
      </c>
      <c r="D80" s="46"/>
      <c r="E80" s="46" t="s">
        <v>435</v>
      </c>
      <c r="F80" s="39" t="s">
        <v>268</v>
      </c>
      <c r="G80" s="70" t="s">
        <v>440</v>
      </c>
      <c r="H80" s="46" t="s">
        <v>441</v>
      </c>
      <c r="I80" s="49" t="s">
        <v>442</v>
      </c>
      <c r="J80" s="39" t="s">
        <v>77</v>
      </c>
      <c r="K80" s="39" t="s">
        <v>37</v>
      </c>
      <c r="L80" s="39" t="s">
        <v>48</v>
      </c>
      <c r="M80" s="44"/>
      <c r="N80" s="39" t="s">
        <v>39</v>
      </c>
      <c r="O80" s="44"/>
      <c r="P80" s="45"/>
    </row>
    <row r="81" spans="1:16" ht="15.75" customHeight="1">
      <c r="A81" s="41" t="str">
        <f t="shared" si="0"/>
        <v>L-080</v>
      </c>
      <c r="B81" s="42" t="s">
        <v>49</v>
      </c>
      <c r="C81" s="46" t="s">
        <v>443</v>
      </c>
      <c r="D81" s="46" t="s">
        <v>443</v>
      </c>
      <c r="E81" s="46"/>
      <c r="F81" s="39" t="s">
        <v>268</v>
      </c>
      <c r="G81" s="48" t="s">
        <v>444</v>
      </c>
      <c r="H81" s="46" t="s">
        <v>445</v>
      </c>
      <c r="I81" s="49" t="s">
        <v>446</v>
      </c>
      <c r="J81" s="39" t="s">
        <v>77</v>
      </c>
      <c r="K81" s="39" t="s">
        <v>37</v>
      </c>
      <c r="L81" s="39" t="s">
        <v>48</v>
      </c>
      <c r="M81" s="44"/>
      <c r="N81" s="39" t="s">
        <v>39</v>
      </c>
      <c r="O81" s="44"/>
      <c r="P81" s="45" t="s">
        <v>390</v>
      </c>
    </row>
    <row r="82" spans="1:16" ht="15.75" customHeight="1">
      <c r="A82" s="41" t="str">
        <f t="shared" si="0"/>
        <v>L-081</v>
      </c>
      <c r="B82" s="42" t="s">
        <v>49</v>
      </c>
      <c r="C82" s="46" t="s">
        <v>447</v>
      </c>
      <c r="D82" s="46" t="s">
        <v>448</v>
      </c>
      <c r="E82" s="46"/>
      <c r="F82" s="39" t="s">
        <v>268</v>
      </c>
      <c r="G82" s="55" t="s">
        <v>449</v>
      </c>
      <c r="H82" s="46" t="s">
        <v>450</v>
      </c>
      <c r="I82" s="50" t="s">
        <v>451</v>
      </c>
      <c r="J82" s="39" t="s">
        <v>77</v>
      </c>
      <c r="K82" s="39" t="s">
        <v>47</v>
      </c>
      <c r="L82" s="39" t="s">
        <v>48</v>
      </c>
      <c r="M82" s="44"/>
      <c r="N82" s="39" t="s">
        <v>39</v>
      </c>
      <c r="O82" s="44"/>
      <c r="P82" s="45" t="s">
        <v>452</v>
      </c>
    </row>
    <row r="83" spans="1:16" ht="15.75" customHeight="1">
      <c r="A83" s="41" t="str">
        <f t="shared" si="0"/>
        <v>L-082</v>
      </c>
      <c r="B83" s="42" t="s">
        <v>49</v>
      </c>
      <c r="C83" s="46" t="s">
        <v>453</v>
      </c>
      <c r="D83" s="71" t="s">
        <v>454</v>
      </c>
      <c r="E83" s="46"/>
      <c r="F83" s="39" t="s">
        <v>268</v>
      </c>
      <c r="G83" s="48" t="s">
        <v>455</v>
      </c>
      <c r="H83" s="46" t="s">
        <v>456</v>
      </c>
      <c r="I83" s="49" t="s">
        <v>457</v>
      </c>
      <c r="J83" s="39" t="s">
        <v>77</v>
      </c>
      <c r="K83" s="39" t="s">
        <v>94</v>
      </c>
      <c r="L83" s="39" t="s">
        <v>38</v>
      </c>
      <c r="M83" s="44"/>
      <c r="N83" s="39" t="s">
        <v>39</v>
      </c>
      <c r="O83" s="44"/>
      <c r="P83" s="45" t="s">
        <v>458</v>
      </c>
    </row>
    <row r="84" spans="1:16" ht="15.75" customHeight="1">
      <c r="A84" s="41" t="str">
        <f t="shared" si="0"/>
        <v>L-083</v>
      </c>
      <c r="B84" s="42" t="s">
        <v>49</v>
      </c>
      <c r="C84" s="46" t="s">
        <v>459</v>
      </c>
      <c r="D84" s="72" t="s">
        <v>460</v>
      </c>
      <c r="E84" s="46" t="s">
        <v>461</v>
      </c>
      <c r="F84" s="39" t="s">
        <v>268</v>
      </c>
      <c r="G84" s="48" t="s">
        <v>462</v>
      </c>
      <c r="H84" s="46" t="s">
        <v>463</v>
      </c>
      <c r="I84" s="49" t="s">
        <v>464</v>
      </c>
      <c r="J84" s="39" t="s">
        <v>77</v>
      </c>
      <c r="K84" s="39" t="s">
        <v>37</v>
      </c>
      <c r="L84" s="39" t="s">
        <v>48</v>
      </c>
      <c r="M84" s="44"/>
      <c r="N84" s="39" t="s">
        <v>39</v>
      </c>
      <c r="O84" s="44"/>
      <c r="P84" s="45" t="s">
        <v>465</v>
      </c>
    </row>
    <row r="85" spans="1:16" ht="15.75" customHeight="1">
      <c r="A85" s="41" t="str">
        <f t="shared" si="0"/>
        <v>L-084</v>
      </c>
      <c r="B85" s="42" t="s">
        <v>49</v>
      </c>
      <c r="C85" s="46" t="s">
        <v>466</v>
      </c>
      <c r="D85" s="72" t="s">
        <v>467</v>
      </c>
      <c r="E85" s="46"/>
      <c r="F85" s="39" t="s">
        <v>268</v>
      </c>
      <c r="G85" s="55" t="s">
        <v>468</v>
      </c>
      <c r="H85" s="46" t="s">
        <v>469</v>
      </c>
      <c r="I85" s="73" t="s">
        <v>470</v>
      </c>
      <c r="J85" s="39" t="s">
        <v>77</v>
      </c>
      <c r="K85" s="39" t="s">
        <v>37</v>
      </c>
      <c r="L85" s="39" t="s">
        <v>38</v>
      </c>
      <c r="M85" s="44"/>
      <c r="N85" s="39" t="s">
        <v>39</v>
      </c>
      <c r="O85" s="44"/>
      <c r="P85" s="45" t="s">
        <v>465</v>
      </c>
    </row>
    <row r="86" spans="1:16" ht="15.75" customHeight="1">
      <c r="A86" s="41" t="str">
        <f t="shared" si="0"/>
        <v>L-085</v>
      </c>
      <c r="B86" s="42" t="s">
        <v>49</v>
      </c>
      <c r="C86" s="46" t="s">
        <v>471</v>
      </c>
      <c r="D86" s="72" t="s">
        <v>472</v>
      </c>
      <c r="E86" s="46"/>
      <c r="F86" s="39" t="s">
        <v>268</v>
      </c>
      <c r="G86" s="55" t="s">
        <v>473</v>
      </c>
      <c r="H86" s="46" t="s">
        <v>474</v>
      </c>
      <c r="I86" s="46"/>
      <c r="J86" s="39" t="s">
        <v>77</v>
      </c>
      <c r="K86" s="39" t="s">
        <v>47</v>
      </c>
      <c r="L86" s="39" t="s">
        <v>48</v>
      </c>
      <c r="M86" s="44"/>
      <c r="N86" s="39" t="s">
        <v>39</v>
      </c>
      <c r="O86" s="44"/>
      <c r="P86" s="45" t="s">
        <v>475</v>
      </c>
    </row>
    <row r="87" spans="1:16" ht="15.75" customHeight="1">
      <c r="A87" s="41" t="str">
        <f t="shared" si="0"/>
        <v>L-086</v>
      </c>
      <c r="B87" s="42" t="s">
        <v>49</v>
      </c>
      <c r="C87" s="46" t="s">
        <v>476</v>
      </c>
      <c r="D87" s="72" t="s">
        <v>477</v>
      </c>
      <c r="E87" s="46" t="s">
        <v>478</v>
      </c>
      <c r="F87" s="39" t="s">
        <v>268</v>
      </c>
      <c r="G87" s="48" t="s">
        <v>479</v>
      </c>
      <c r="H87" s="46" t="s">
        <v>480</v>
      </c>
      <c r="I87" s="46" t="s">
        <v>481</v>
      </c>
      <c r="J87" s="39" t="s">
        <v>77</v>
      </c>
      <c r="K87" s="39" t="s">
        <v>316</v>
      </c>
      <c r="L87" s="39" t="s">
        <v>38</v>
      </c>
      <c r="M87" s="44"/>
      <c r="N87" s="39" t="s">
        <v>39</v>
      </c>
      <c r="O87" s="44"/>
      <c r="P87" s="45" t="s">
        <v>482</v>
      </c>
    </row>
    <row r="88" spans="1:16" ht="15.75" customHeight="1">
      <c r="A88" s="41" t="str">
        <f t="shared" si="0"/>
        <v>L-087</v>
      </c>
      <c r="B88" s="42" t="s">
        <v>49</v>
      </c>
      <c r="C88" s="46" t="s">
        <v>483</v>
      </c>
      <c r="D88" s="72"/>
      <c r="E88" s="46"/>
      <c r="F88" s="39" t="s">
        <v>268</v>
      </c>
      <c r="G88" s="49" t="s">
        <v>484</v>
      </c>
      <c r="H88" s="46" t="s">
        <v>485</v>
      </c>
      <c r="I88" s="46"/>
      <c r="J88" s="39" t="s">
        <v>77</v>
      </c>
      <c r="K88" s="39" t="s">
        <v>47</v>
      </c>
      <c r="L88" s="39" t="s">
        <v>48</v>
      </c>
      <c r="M88" s="44"/>
      <c r="N88" s="39" t="s">
        <v>39</v>
      </c>
      <c r="O88" s="44"/>
      <c r="P88" s="45" t="s">
        <v>452</v>
      </c>
    </row>
    <row r="89" spans="1:16" ht="15.75" customHeight="1">
      <c r="A89" s="41" t="str">
        <f t="shared" si="0"/>
        <v>L-088</v>
      </c>
      <c r="B89" s="42" t="s">
        <v>49</v>
      </c>
      <c r="C89" s="46" t="s">
        <v>486</v>
      </c>
      <c r="D89" s="46" t="s">
        <v>487</v>
      </c>
      <c r="E89" s="46"/>
      <c r="F89" s="39" t="s">
        <v>268</v>
      </c>
      <c r="G89" s="74" t="s">
        <v>488</v>
      </c>
      <c r="H89" s="46" t="s">
        <v>489</v>
      </c>
      <c r="I89" s="75" t="s">
        <v>490</v>
      </c>
      <c r="J89" s="39" t="s">
        <v>77</v>
      </c>
      <c r="K89" s="39" t="s">
        <v>316</v>
      </c>
      <c r="L89" s="39" t="s">
        <v>38</v>
      </c>
      <c r="M89" s="44"/>
      <c r="N89" s="39" t="s">
        <v>39</v>
      </c>
      <c r="O89" s="44"/>
      <c r="P89" s="45" t="s">
        <v>491</v>
      </c>
    </row>
    <row r="90" spans="1:16" ht="15.75" customHeight="1">
      <c r="A90" s="41" t="str">
        <f t="shared" si="0"/>
        <v>L-089</v>
      </c>
      <c r="B90" s="42" t="s">
        <v>49</v>
      </c>
      <c r="C90" s="46" t="s">
        <v>492</v>
      </c>
      <c r="D90" s="46"/>
      <c r="E90" s="46"/>
      <c r="F90" s="39" t="s">
        <v>493</v>
      </c>
      <c r="G90" s="55" t="s">
        <v>494</v>
      </c>
      <c r="H90" s="46" t="s">
        <v>495</v>
      </c>
      <c r="I90" s="49" t="s">
        <v>496</v>
      </c>
      <c r="J90" s="39" t="s">
        <v>77</v>
      </c>
      <c r="K90" s="39" t="s">
        <v>37</v>
      </c>
      <c r="L90" s="39" t="s">
        <v>48</v>
      </c>
      <c r="M90" s="44"/>
      <c r="N90" s="39" t="s">
        <v>39</v>
      </c>
      <c r="O90" s="44"/>
      <c r="P90" s="45" t="s">
        <v>497</v>
      </c>
    </row>
    <row r="91" spans="1:16" ht="15.75" customHeight="1">
      <c r="A91" s="41" t="str">
        <f t="shared" si="0"/>
        <v>L-090</v>
      </c>
      <c r="B91" s="42" t="s">
        <v>49</v>
      </c>
      <c r="C91" s="46" t="s">
        <v>498</v>
      </c>
      <c r="D91" s="46" t="s">
        <v>499</v>
      </c>
      <c r="E91" s="46" t="s">
        <v>500</v>
      </c>
      <c r="F91" s="39" t="s">
        <v>268</v>
      </c>
      <c r="G91" s="48" t="s">
        <v>501</v>
      </c>
      <c r="H91" s="46" t="s">
        <v>502</v>
      </c>
      <c r="I91" s="76" t="s">
        <v>503</v>
      </c>
      <c r="J91" s="39" t="s">
        <v>77</v>
      </c>
      <c r="K91" s="39" t="s">
        <v>94</v>
      </c>
      <c r="L91" s="39" t="s">
        <v>38</v>
      </c>
      <c r="M91" s="44"/>
      <c r="N91" s="39" t="s">
        <v>39</v>
      </c>
      <c r="O91" s="44"/>
      <c r="P91" s="45" t="s">
        <v>504</v>
      </c>
    </row>
    <row r="92" spans="1:16" ht="15.75" customHeight="1">
      <c r="A92" s="41" t="str">
        <f t="shared" si="0"/>
        <v>L-091</v>
      </c>
      <c r="B92" s="42" t="s">
        <v>49</v>
      </c>
      <c r="C92" s="46" t="s">
        <v>505</v>
      </c>
      <c r="D92" s="46" t="s">
        <v>505</v>
      </c>
      <c r="E92" s="46"/>
      <c r="F92" s="39" t="s">
        <v>268</v>
      </c>
      <c r="G92" s="49" t="s">
        <v>506</v>
      </c>
      <c r="H92" s="46" t="s">
        <v>507</v>
      </c>
      <c r="I92" s="77" t="s">
        <v>508</v>
      </c>
      <c r="J92" s="39" t="s">
        <v>77</v>
      </c>
      <c r="K92" s="39" t="s">
        <v>97</v>
      </c>
      <c r="L92" s="39" t="s">
        <v>48</v>
      </c>
      <c r="M92" s="44"/>
      <c r="N92" s="39" t="s">
        <v>39</v>
      </c>
      <c r="O92" s="44"/>
      <c r="P92" s="45" t="s">
        <v>452</v>
      </c>
    </row>
    <row r="93" spans="1:16" ht="15.75" customHeight="1">
      <c r="A93" s="41" t="str">
        <f t="shared" si="0"/>
        <v>L-092</v>
      </c>
      <c r="B93" s="42" t="s">
        <v>49</v>
      </c>
      <c r="C93" s="46" t="s">
        <v>509</v>
      </c>
      <c r="D93" s="46" t="s">
        <v>510</v>
      </c>
      <c r="E93" s="46"/>
      <c r="F93" s="39" t="s">
        <v>268</v>
      </c>
      <c r="G93" s="55" t="s">
        <v>511</v>
      </c>
      <c r="H93" s="46" t="s">
        <v>512</v>
      </c>
      <c r="I93" s="46"/>
      <c r="J93" s="39" t="s">
        <v>77</v>
      </c>
      <c r="K93" s="39" t="s">
        <v>97</v>
      </c>
      <c r="L93" s="39" t="s">
        <v>48</v>
      </c>
      <c r="M93" s="44"/>
      <c r="N93" s="39" t="s">
        <v>39</v>
      </c>
      <c r="O93" s="44"/>
      <c r="P93" s="45" t="s">
        <v>452</v>
      </c>
    </row>
    <row r="94" spans="1:16" ht="15.75" customHeight="1">
      <c r="A94" s="41" t="str">
        <f t="shared" si="0"/>
        <v>L-093</v>
      </c>
      <c r="B94" s="42" t="s">
        <v>49</v>
      </c>
      <c r="C94" s="46" t="s">
        <v>513</v>
      </c>
      <c r="D94" s="46" t="s">
        <v>514</v>
      </c>
      <c r="E94" s="46" t="s">
        <v>515</v>
      </c>
      <c r="F94" s="39" t="s">
        <v>268</v>
      </c>
      <c r="G94" s="55" t="s">
        <v>516</v>
      </c>
      <c r="H94" s="46" t="s">
        <v>517</v>
      </c>
      <c r="I94" s="55" t="s">
        <v>518</v>
      </c>
      <c r="J94" s="39" t="s">
        <v>77</v>
      </c>
      <c r="K94" s="39" t="s">
        <v>94</v>
      </c>
      <c r="L94" s="39" t="s">
        <v>48</v>
      </c>
      <c r="M94" s="44"/>
      <c r="N94" s="39" t="s">
        <v>39</v>
      </c>
      <c r="O94" s="44"/>
      <c r="P94" s="45" t="s">
        <v>519</v>
      </c>
    </row>
    <row r="95" spans="1:16" ht="15.75" customHeight="1">
      <c r="A95" s="41" t="str">
        <f t="shared" si="0"/>
        <v>L-094</v>
      </c>
      <c r="B95" s="42" t="s">
        <v>49</v>
      </c>
      <c r="C95" s="46" t="s">
        <v>520</v>
      </c>
      <c r="D95" s="46" t="s">
        <v>521</v>
      </c>
      <c r="E95" s="46"/>
      <c r="F95" s="39" t="s">
        <v>268</v>
      </c>
      <c r="G95" s="55" t="s">
        <v>522</v>
      </c>
      <c r="H95" s="46" t="s">
        <v>523</v>
      </c>
      <c r="I95" s="55" t="s">
        <v>524</v>
      </c>
      <c r="J95" s="39" t="s">
        <v>77</v>
      </c>
      <c r="K95" s="39" t="s">
        <v>94</v>
      </c>
      <c r="L95" s="39" t="s">
        <v>48</v>
      </c>
      <c r="M95" s="44"/>
      <c r="N95" s="39" t="s">
        <v>39</v>
      </c>
      <c r="O95" s="44"/>
      <c r="P95" s="45"/>
    </row>
    <row r="96" spans="1:16" ht="15.75" customHeight="1">
      <c r="A96" s="41" t="str">
        <f t="shared" si="0"/>
        <v>L-095</v>
      </c>
      <c r="B96" s="42" t="s">
        <v>49</v>
      </c>
      <c r="C96" s="78" t="s">
        <v>525</v>
      </c>
      <c r="D96" s="78" t="s">
        <v>525</v>
      </c>
      <c r="E96" s="46"/>
      <c r="F96" s="39" t="s">
        <v>268</v>
      </c>
      <c r="G96" s="55" t="s">
        <v>526</v>
      </c>
      <c r="H96" s="46" t="s">
        <v>527</v>
      </c>
      <c r="I96" s="46"/>
      <c r="J96" s="39" t="s">
        <v>77</v>
      </c>
      <c r="K96" s="39" t="s">
        <v>97</v>
      </c>
      <c r="L96" s="39" t="s">
        <v>48</v>
      </c>
      <c r="M96" s="44"/>
      <c r="N96" s="39" t="s">
        <v>39</v>
      </c>
      <c r="O96" s="44"/>
      <c r="P96" s="45" t="s">
        <v>452</v>
      </c>
    </row>
    <row r="97" spans="1:16" ht="15.75" customHeight="1">
      <c r="A97" s="41" t="str">
        <f t="shared" si="0"/>
        <v>L-096</v>
      </c>
      <c r="B97" s="42" t="s">
        <v>49</v>
      </c>
      <c r="C97" s="79" t="s">
        <v>528</v>
      </c>
      <c r="D97" s="79" t="s">
        <v>529</v>
      </c>
      <c r="E97" s="46"/>
      <c r="F97" s="39" t="s">
        <v>268</v>
      </c>
      <c r="G97" s="55" t="s">
        <v>530</v>
      </c>
      <c r="H97" s="46" t="s">
        <v>531</v>
      </c>
      <c r="I97" s="55" t="s">
        <v>532</v>
      </c>
      <c r="J97" s="39" t="s">
        <v>77</v>
      </c>
      <c r="K97" s="39" t="s">
        <v>94</v>
      </c>
      <c r="L97" s="39" t="s">
        <v>38</v>
      </c>
      <c r="M97" s="44"/>
      <c r="N97" s="39" t="s">
        <v>39</v>
      </c>
      <c r="O97" s="44"/>
      <c r="P97" s="45"/>
    </row>
    <row r="98" spans="1:16" ht="15.75" customHeight="1">
      <c r="A98" s="41" t="str">
        <f t="shared" si="0"/>
        <v>L-097</v>
      </c>
      <c r="B98" s="42" t="s">
        <v>49</v>
      </c>
      <c r="C98" s="46" t="s">
        <v>533</v>
      </c>
      <c r="D98" s="46" t="s">
        <v>534</v>
      </c>
      <c r="E98" s="46" t="s">
        <v>535</v>
      </c>
      <c r="F98" s="39" t="s">
        <v>536</v>
      </c>
      <c r="G98" s="55" t="s">
        <v>537</v>
      </c>
      <c r="H98" s="46" t="s">
        <v>538</v>
      </c>
      <c r="I98" s="80" t="s">
        <v>539</v>
      </c>
      <c r="J98" s="39" t="s">
        <v>77</v>
      </c>
      <c r="K98" s="39" t="s">
        <v>316</v>
      </c>
      <c r="L98" s="39" t="s">
        <v>83</v>
      </c>
      <c r="M98" s="44"/>
      <c r="N98" s="39" t="s">
        <v>39</v>
      </c>
      <c r="O98" s="44"/>
      <c r="P98" s="45" t="s">
        <v>540</v>
      </c>
    </row>
    <row r="99" spans="1:16" ht="15.75" customHeight="1">
      <c r="A99" s="41" t="str">
        <f t="shared" si="0"/>
        <v>L-098</v>
      </c>
      <c r="B99" s="42" t="s">
        <v>49</v>
      </c>
      <c r="C99" s="46" t="s">
        <v>541</v>
      </c>
      <c r="D99" s="46" t="s">
        <v>542</v>
      </c>
      <c r="E99" s="46" t="s">
        <v>535</v>
      </c>
      <c r="F99" s="39" t="s">
        <v>536</v>
      </c>
      <c r="G99" s="48" t="s">
        <v>543</v>
      </c>
      <c r="H99" s="46" t="s">
        <v>544</v>
      </c>
      <c r="I99" s="55" t="s">
        <v>545</v>
      </c>
      <c r="J99" s="39" t="s">
        <v>77</v>
      </c>
      <c r="K99" s="39" t="s">
        <v>316</v>
      </c>
      <c r="L99" s="39" t="s">
        <v>83</v>
      </c>
      <c r="M99" s="44"/>
      <c r="N99" s="39" t="s">
        <v>39</v>
      </c>
      <c r="O99" s="44"/>
      <c r="P99" s="45" t="s">
        <v>540</v>
      </c>
    </row>
    <row r="100" spans="1:16" ht="15.75" customHeight="1">
      <c r="A100" s="41" t="str">
        <f t="shared" si="0"/>
        <v>L-099</v>
      </c>
      <c r="B100" s="42" t="s">
        <v>49</v>
      </c>
      <c r="C100" s="46" t="s">
        <v>546</v>
      </c>
      <c r="D100" s="46" t="s">
        <v>547</v>
      </c>
      <c r="E100" s="46"/>
      <c r="F100" s="39" t="s">
        <v>536</v>
      </c>
      <c r="G100" s="48" t="s">
        <v>548</v>
      </c>
      <c r="H100" s="46" t="s">
        <v>549</v>
      </c>
      <c r="I100" s="81" t="s">
        <v>550</v>
      </c>
      <c r="J100" s="39" t="s">
        <v>77</v>
      </c>
      <c r="K100" s="39" t="s">
        <v>94</v>
      </c>
      <c r="L100" s="39" t="s">
        <v>38</v>
      </c>
      <c r="M100" s="44"/>
      <c r="N100" s="39" t="s">
        <v>39</v>
      </c>
      <c r="O100" s="44"/>
      <c r="P100" s="45" t="s">
        <v>551</v>
      </c>
    </row>
    <row r="101" spans="1:16" ht="15.75" customHeight="1">
      <c r="A101" s="41" t="str">
        <f t="shared" si="0"/>
        <v>L-100</v>
      </c>
      <c r="B101" s="42" t="s">
        <v>49</v>
      </c>
      <c r="C101" s="46" t="s">
        <v>552</v>
      </c>
      <c r="D101" s="46" t="s">
        <v>553</v>
      </c>
      <c r="E101" s="46" t="s">
        <v>554</v>
      </c>
      <c r="F101" s="39" t="s">
        <v>536</v>
      </c>
      <c r="G101" s="55" t="s">
        <v>555</v>
      </c>
      <c r="H101" s="46" t="s">
        <v>556</v>
      </c>
      <c r="I101" s="55" t="s">
        <v>557</v>
      </c>
      <c r="J101" s="39" t="s">
        <v>77</v>
      </c>
      <c r="K101" s="39" t="s">
        <v>94</v>
      </c>
      <c r="L101" s="39" t="s">
        <v>48</v>
      </c>
      <c r="M101" s="44"/>
      <c r="N101" s="39" t="s">
        <v>39</v>
      </c>
      <c r="O101" s="44"/>
      <c r="P101" s="45" t="s">
        <v>558</v>
      </c>
    </row>
    <row r="102" spans="1:16" ht="15.75" customHeight="1">
      <c r="A102" s="41" t="str">
        <f t="shared" si="0"/>
        <v>L-101</v>
      </c>
      <c r="B102" s="42" t="s">
        <v>49</v>
      </c>
      <c r="C102" s="46" t="s">
        <v>559</v>
      </c>
      <c r="D102" s="46" t="s">
        <v>560</v>
      </c>
      <c r="E102" s="46" t="s">
        <v>554</v>
      </c>
      <c r="F102" s="39" t="s">
        <v>536</v>
      </c>
      <c r="G102" s="55" t="s">
        <v>561</v>
      </c>
      <c r="H102" s="46" t="s">
        <v>562</v>
      </c>
      <c r="I102" s="55" t="s">
        <v>563</v>
      </c>
      <c r="J102" s="39" t="s">
        <v>77</v>
      </c>
      <c r="K102" s="39" t="s">
        <v>279</v>
      </c>
      <c r="L102" s="39" t="s">
        <v>38</v>
      </c>
      <c r="M102" s="44"/>
      <c r="N102" s="39" t="s">
        <v>39</v>
      </c>
      <c r="O102" s="44"/>
      <c r="P102" s="45" t="s">
        <v>558</v>
      </c>
    </row>
    <row r="103" spans="1:16" ht="15.75" customHeight="1">
      <c r="A103" s="41" t="str">
        <f t="shared" si="0"/>
        <v>L-102</v>
      </c>
      <c r="B103" s="42" t="s">
        <v>564</v>
      </c>
      <c r="C103" s="46" t="s">
        <v>565</v>
      </c>
      <c r="D103" s="46"/>
      <c r="E103" s="46"/>
      <c r="F103" s="39" t="s">
        <v>536</v>
      </c>
      <c r="G103" s="70" t="s">
        <v>566</v>
      </c>
      <c r="H103" s="46" t="s">
        <v>567</v>
      </c>
      <c r="I103" s="55" t="s">
        <v>568</v>
      </c>
      <c r="J103" s="39" t="s">
        <v>77</v>
      </c>
      <c r="K103" s="39" t="s">
        <v>37</v>
      </c>
      <c r="L103" s="39" t="s">
        <v>38</v>
      </c>
      <c r="M103" s="44"/>
      <c r="N103" s="39" t="s">
        <v>39</v>
      </c>
      <c r="O103" s="44"/>
      <c r="P103" s="45" t="s">
        <v>569</v>
      </c>
    </row>
    <row r="104" spans="1:16" ht="15.75" customHeight="1">
      <c r="A104" s="41" t="str">
        <f t="shared" si="0"/>
        <v>L-103</v>
      </c>
      <c r="B104" s="42" t="s">
        <v>49</v>
      </c>
      <c r="C104" s="46" t="s">
        <v>570</v>
      </c>
      <c r="D104" s="46" t="s">
        <v>571</v>
      </c>
      <c r="E104" s="46" t="s">
        <v>554</v>
      </c>
      <c r="F104" s="39" t="s">
        <v>536</v>
      </c>
      <c r="G104" s="48" t="s">
        <v>572</v>
      </c>
      <c r="H104" s="46" t="s">
        <v>573</v>
      </c>
      <c r="I104" s="82" t="s">
        <v>574</v>
      </c>
      <c r="J104" s="39" t="s">
        <v>77</v>
      </c>
      <c r="K104" s="39" t="s">
        <v>279</v>
      </c>
      <c r="L104" s="39" t="s">
        <v>83</v>
      </c>
      <c r="M104" s="44"/>
      <c r="N104" s="39" t="s">
        <v>39</v>
      </c>
      <c r="O104" s="44"/>
      <c r="P104" s="45"/>
    </row>
    <row r="105" spans="1:16" ht="15.75" customHeight="1">
      <c r="A105" s="41" t="str">
        <f t="shared" si="0"/>
        <v>L-104</v>
      </c>
      <c r="B105" s="42" t="s">
        <v>49</v>
      </c>
      <c r="C105" s="46" t="s">
        <v>575</v>
      </c>
      <c r="D105" s="46" t="s">
        <v>576</v>
      </c>
      <c r="E105" s="46" t="s">
        <v>554</v>
      </c>
      <c r="F105" s="39" t="s">
        <v>536</v>
      </c>
      <c r="G105" s="48" t="s">
        <v>577</v>
      </c>
      <c r="H105" s="46" t="s">
        <v>578</v>
      </c>
      <c r="I105" s="55" t="s">
        <v>579</v>
      </c>
      <c r="J105" s="39" t="s">
        <v>77</v>
      </c>
      <c r="K105" s="39" t="s">
        <v>94</v>
      </c>
      <c r="L105" s="39" t="s">
        <v>38</v>
      </c>
      <c r="M105" s="44"/>
      <c r="N105" s="39" t="s">
        <v>39</v>
      </c>
      <c r="O105" s="44"/>
      <c r="P105" s="45" t="s">
        <v>390</v>
      </c>
    </row>
    <row r="106" spans="1:16" ht="15.75" customHeight="1">
      <c r="A106" s="41" t="str">
        <f t="shared" si="0"/>
        <v>L-105</v>
      </c>
      <c r="B106" s="42" t="s">
        <v>49</v>
      </c>
      <c r="C106" s="46" t="s">
        <v>580</v>
      </c>
      <c r="D106" s="46" t="s">
        <v>581</v>
      </c>
      <c r="E106" s="46" t="s">
        <v>554</v>
      </c>
      <c r="F106" s="39" t="s">
        <v>536</v>
      </c>
      <c r="G106" s="55" t="s">
        <v>582</v>
      </c>
      <c r="H106" s="46" t="s">
        <v>583</v>
      </c>
      <c r="I106" s="83" t="s">
        <v>584</v>
      </c>
      <c r="J106" s="39" t="s">
        <v>77</v>
      </c>
      <c r="K106" s="39" t="s">
        <v>94</v>
      </c>
      <c r="L106" s="39" t="s">
        <v>38</v>
      </c>
      <c r="M106" s="44"/>
      <c r="N106" s="39" t="s">
        <v>39</v>
      </c>
      <c r="O106" s="44"/>
      <c r="P106" s="45" t="s">
        <v>465</v>
      </c>
    </row>
    <row r="107" spans="1:16" ht="15.75" customHeight="1">
      <c r="A107" s="41" t="str">
        <f t="shared" si="0"/>
        <v>L-106</v>
      </c>
      <c r="B107" s="42" t="s">
        <v>49</v>
      </c>
      <c r="C107" s="46" t="s">
        <v>585</v>
      </c>
      <c r="D107" s="50" t="s">
        <v>586</v>
      </c>
      <c r="E107" s="46" t="s">
        <v>554</v>
      </c>
      <c r="F107" s="39" t="s">
        <v>536</v>
      </c>
      <c r="G107" s="48" t="s">
        <v>587</v>
      </c>
      <c r="H107" s="46" t="s">
        <v>588</v>
      </c>
      <c r="I107" s="55" t="s">
        <v>589</v>
      </c>
      <c r="J107" s="39" t="s">
        <v>77</v>
      </c>
      <c r="K107" s="39" t="s">
        <v>37</v>
      </c>
      <c r="L107" s="39" t="s">
        <v>48</v>
      </c>
      <c r="M107" s="44"/>
      <c r="N107" s="39" t="s">
        <v>39</v>
      </c>
      <c r="O107" s="44"/>
      <c r="P107" s="45" t="s">
        <v>558</v>
      </c>
    </row>
    <row r="108" spans="1:16" ht="15.75" customHeight="1">
      <c r="A108" s="41" t="str">
        <f t="shared" si="0"/>
        <v>L-107</v>
      </c>
      <c r="B108" s="42" t="s">
        <v>49</v>
      </c>
      <c r="C108" s="46" t="s">
        <v>590</v>
      </c>
      <c r="D108" s="46" t="s">
        <v>591</v>
      </c>
      <c r="E108" s="46" t="s">
        <v>554</v>
      </c>
      <c r="F108" s="46" t="s">
        <v>536</v>
      </c>
      <c r="G108" s="55" t="s">
        <v>592</v>
      </c>
      <c r="H108" s="46" t="s">
        <v>593</v>
      </c>
      <c r="I108" s="55" t="s">
        <v>594</v>
      </c>
      <c r="J108" s="39" t="s">
        <v>77</v>
      </c>
      <c r="K108" s="39" t="s">
        <v>37</v>
      </c>
      <c r="L108" s="39" t="s">
        <v>38</v>
      </c>
      <c r="M108" s="44"/>
      <c r="N108" s="39" t="s">
        <v>39</v>
      </c>
      <c r="O108" s="44"/>
      <c r="P108" s="45" t="s">
        <v>558</v>
      </c>
    </row>
    <row r="109" spans="1:16" ht="15.75" customHeight="1">
      <c r="A109" s="41" t="str">
        <f t="shared" si="0"/>
        <v>L-108</v>
      </c>
      <c r="B109" s="42" t="s">
        <v>49</v>
      </c>
      <c r="C109" s="46" t="s">
        <v>595</v>
      </c>
      <c r="D109" s="46" t="s">
        <v>596</v>
      </c>
      <c r="E109" s="46"/>
      <c r="F109" s="39" t="s">
        <v>536</v>
      </c>
      <c r="G109" s="57" t="s">
        <v>597</v>
      </c>
      <c r="H109" s="46" t="s">
        <v>598</v>
      </c>
      <c r="I109" s="46"/>
      <c r="J109" s="39" t="s">
        <v>77</v>
      </c>
      <c r="K109" s="39" t="s">
        <v>97</v>
      </c>
      <c r="L109" s="39" t="s">
        <v>48</v>
      </c>
      <c r="M109" s="44"/>
      <c r="N109" s="39" t="s">
        <v>39</v>
      </c>
      <c r="O109" s="44"/>
      <c r="P109" s="45"/>
    </row>
    <row r="110" spans="1:16" ht="15.75" customHeight="1">
      <c r="A110" s="41" t="str">
        <f t="shared" si="0"/>
        <v>L-109</v>
      </c>
      <c r="B110" s="42" t="s">
        <v>49</v>
      </c>
      <c r="C110" s="46" t="s">
        <v>599</v>
      </c>
      <c r="D110" s="46"/>
      <c r="E110" s="46"/>
      <c r="F110" s="39" t="s">
        <v>536</v>
      </c>
      <c r="G110" s="55" t="s">
        <v>600</v>
      </c>
      <c r="H110" s="46" t="s">
        <v>601</v>
      </c>
      <c r="I110" s="55" t="s">
        <v>602</v>
      </c>
      <c r="J110" s="39" t="s">
        <v>77</v>
      </c>
      <c r="K110" s="39" t="s">
        <v>279</v>
      </c>
      <c r="L110" s="39" t="s">
        <v>83</v>
      </c>
      <c r="M110" s="44"/>
      <c r="N110" s="39" t="s">
        <v>39</v>
      </c>
      <c r="O110" s="44"/>
      <c r="P110" s="45"/>
    </row>
    <row r="111" spans="1:16" ht="15.75" customHeight="1">
      <c r="A111" s="41" t="str">
        <f t="shared" si="0"/>
        <v>L-110</v>
      </c>
      <c r="B111" s="42" t="s">
        <v>49</v>
      </c>
      <c r="C111" s="46" t="s">
        <v>603</v>
      </c>
      <c r="D111" s="46" t="s">
        <v>604</v>
      </c>
      <c r="E111" s="46" t="s">
        <v>554</v>
      </c>
      <c r="F111" s="39" t="s">
        <v>536</v>
      </c>
      <c r="G111" s="84" t="s">
        <v>605</v>
      </c>
      <c r="H111" s="46" t="s">
        <v>606</v>
      </c>
      <c r="I111" s="51" t="s">
        <v>607</v>
      </c>
      <c r="J111" s="39" t="s">
        <v>77</v>
      </c>
      <c r="K111" s="39" t="s">
        <v>94</v>
      </c>
      <c r="L111" s="39" t="s">
        <v>38</v>
      </c>
      <c r="M111" s="44"/>
      <c r="N111" s="39" t="s">
        <v>39</v>
      </c>
      <c r="O111" s="44"/>
      <c r="P111" s="45"/>
    </row>
    <row r="112" spans="1:16" ht="15.75" customHeight="1">
      <c r="A112" s="41" t="str">
        <f t="shared" si="0"/>
        <v>L-111</v>
      </c>
      <c r="B112" s="42" t="s">
        <v>49</v>
      </c>
      <c r="C112" s="46" t="s">
        <v>608</v>
      </c>
      <c r="D112" s="46" t="s">
        <v>609</v>
      </c>
      <c r="E112" s="46" t="s">
        <v>535</v>
      </c>
      <c r="F112" s="39" t="s">
        <v>536</v>
      </c>
      <c r="G112" s="55" t="s">
        <v>610</v>
      </c>
      <c r="H112" s="46" t="s">
        <v>611</v>
      </c>
      <c r="I112" s="85" t="s">
        <v>612</v>
      </c>
      <c r="J112" s="39" t="s">
        <v>77</v>
      </c>
      <c r="K112" s="39" t="s">
        <v>37</v>
      </c>
      <c r="L112" s="39" t="s">
        <v>38</v>
      </c>
      <c r="M112" s="44"/>
      <c r="N112" s="39" t="s">
        <v>39</v>
      </c>
      <c r="O112" s="44"/>
      <c r="P112" s="45" t="s">
        <v>613</v>
      </c>
    </row>
    <row r="113" spans="1:16" ht="15.75" customHeight="1">
      <c r="A113" s="41" t="str">
        <f t="shared" si="0"/>
        <v>L-112</v>
      </c>
      <c r="B113" s="42" t="s">
        <v>49</v>
      </c>
      <c r="C113" s="46" t="s">
        <v>614</v>
      </c>
      <c r="D113" s="57" t="s">
        <v>615</v>
      </c>
      <c r="E113" s="46" t="s">
        <v>535</v>
      </c>
      <c r="F113" s="39" t="s">
        <v>536</v>
      </c>
      <c r="G113" s="55" t="s">
        <v>616</v>
      </c>
      <c r="H113" s="46" t="s">
        <v>617</v>
      </c>
      <c r="I113" s="86" t="s">
        <v>618</v>
      </c>
      <c r="J113" s="39" t="s">
        <v>77</v>
      </c>
      <c r="K113" s="39" t="s">
        <v>279</v>
      </c>
      <c r="L113" s="39" t="s">
        <v>83</v>
      </c>
      <c r="M113" s="44"/>
      <c r="N113" s="39" t="s">
        <v>39</v>
      </c>
      <c r="O113" s="44"/>
      <c r="P113" s="45"/>
    </row>
    <row r="114" spans="1:16" ht="15.75" customHeight="1">
      <c r="A114" s="41" t="str">
        <f t="shared" si="0"/>
        <v>L-113</v>
      </c>
      <c r="B114" s="42" t="s">
        <v>242</v>
      </c>
      <c r="C114" s="46" t="s">
        <v>619</v>
      </c>
      <c r="D114" s="46" t="s">
        <v>620</v>
      </c>
      <c r="E114" s="46" t="s">
        <v>535</v>
      </c>
      <c r="F114" s="39" t="s">
        <v>621</v>
      </c>
      <c r="G114" s="46"/>
      <c r="H114" s="46" t="s">
        <v>622</v>
      </c>
      <c r="I114" s="46" t="s">
        <v>623</v>
      </c>
      <c r="J114" s="39" t="s">
        <v>18</v>
      </c>
      <c r="K114" s="39" t="s">
        <v>97</v>
      </c>
      <c r="L114" s="39" t="s">
        <v>48</v>
      </c>
      <c r="M114" s="44">
        <v>46195</v>
      </c>
      <c r="N114" s="39" t="s">
        <v>264</v>
      </c>
      <c r="O114" s="44"/>
      <c r="P114" s="45"/>
    </row>
    <row r="115" spans="1:16" ht="15.75" customHeight="1">
      <c r="A115" s="41" t="str">
        <f t="shared" si="0"/>
        <v>L-114</v>
      </c>
      <c r="B115" s="42" t="s">
        <v>564</v>
      </c>
      <c r="C115" s="46" t="s">
        <v>624</v>
      </c>
      <c r="D115" s="46"/>
      <c r="E115" s="46" t="s">
        <v>52</v>
      </c>
      <c r="F115" s="39" t="s">
        <v>621</v>
      </c>
      <c r="G115" s="46"/>
      <c r="H115" s="46" t="s">
        <v>625</v>
      </c>
      <c r="I115" s="46"/>
      <c r="J115" s="39" t="s">
        <v>263</v>
      </c>
      <c r="K115" s="39" t="s">
        <v>97</v>
      </c>
      <c r="L115" s="39" t="s">
        <v>38</v>
      </c>
      <c r="M115" s="44"/>
      <c r="N115" s="39" t="s">
        <v>39</v>
      </c>
      <c r="O115" s="44"/>
      <c r="P115" s="45" t="s">
        <v>626</v>
      </c>
    </row>
    <row r="116" spans="1:16" ht="15.75" customHeight="1">
      <c r="A116" s="41" t="str">
        <f t="shared" si="0"/>
        <v>L-115</v>
      </c>
      <c r="B116" s="42" t="s">
        <v>49</v>
      </c>
      <c r="C116" s="46" t="s">
        <v>627</v>
      </c>
      <c r="D116" s="46" t="s">
        <v>628</v>
      </c>
      <c r="E116" s="46" t="s">
        <v>554</v>
      </c>
      <c r="F116" s="39" t="s">
        <v>536</v>
      </c>
      <c r="G116" s="55" t="s">
        <v>629</v>
      </c>
      <c r="H116" s="46" t="s">
        <v>630</v>
      </c>
      <c r="I116" s="87" t="s">
        <v>631</v>
      </c>
      <c r="J116" s="39" t="s">
        <v>77</v>
      </c>
      <c r="K116" s="39" t="s">
        <v>97</v>
      </c>
      <c r="L116" s="39" t="s">
        <v>48</v>
      </c>
      <c r="M116" s="44"/>
      <c r="N116" s="39" t="s">
        <v>39</v>
      </c>
      <c r="O116" s="44"/>
      <c r="P116" s="45"/>
    </row>
    <row r="117" spans="1:16" ht="15.75" customHeight="1">
      <c r="A117" s="41" t="str">
        <f t="shared" si="0"/>
        <v>L-116</v>
      </c>
      <c r="B117" s="42" t="s">
        <v>49</v>
      </c>
      <c r="C117" s="46" t="s">
        <v>632</v>
      </c>
      <c r="D117" s="46" t="s">
        <v>633</v>
      </c>
      <c r="E117" s="46" t="s">
        <v>554</v>
      </c>
      <c r="F117" s="39" t="s">
        <v>536</v>
      </c>
      <c r="G117" s="55" t="s">
        <v>634</v>
      </c>
      <c r="H117" s="46" t="s">
        <v>635</v>
      </c>
      <c r="I117" s="46" t="s">
        <v>636</v>
      </c>
      <c r="J117" s="39" t="s">
        <v>77</v>
      </c>
      <c r="K117" s="39" t="s">
        <v>97</v>
      </c>
      <c r="L117" s="39" t="s">
        <v>48</v>
      </c>
      <c r="M117" s="44"/>
      <c r="N117" s="39" t="s">
        <v>39</v>
      </c>
      <c r="O117" s="44"/>
      <c r="P117" s="45"/>
    </row>
    <row r="118" spans="1:16" ht="15.75" customHeight="1">
      <c r="A118" s="41" t="str">
        <f t="shared" si="0"/>
        <v>L-117</v>
      </c>
      <c r="B118" s="42" t="s">
        <v>49</v>
      </c>
      <c r="C118" s="46" t="s">
        <v>637</v>
      </c>
      <c r="D118" s="46" t="s">
        <v>638</v>
      </c>
      <c r="E118" s="46" t="s">
        <v>554</v>
      </c>
      <c r="F118" s="39" t="s">
        <v>536</v>
      </c>
      <c r="G118" s="55" t="s">
        <v>639</v>
      </c>
      <c r="H118" s="46" t="s">
        <v>640</v>
      </c>
      <c r="I118" s="55" t="s">
        <v>641</v>
      </c>
      <c r="J118" s="39" t="s">
        <v>77</v>
      </c>
      <c r="K118" s="39" t="s">
        <v>279</v>
      </c>
      <c r="L118" s="39" t="s">
        <v>83</v>
      </c>
      <c r="M118" s="44"/>
      <c r="N118" s="39" t="s">
        <v>39</v>
      </c>
      <c r="O118" s="44"/>
      <c r="P118" s="45"/>
    </row>
    <row r="119" spans="1:16" ht="15.75" customHeight="1">
      <c r="A119" s="41" t="str">
        <f t="shared" si="0"/>
        <v>L-118</v>
      </c>
      <c r="B119" s="42" t="s">
        <v>49</v>
      </c>
      <c r="C119" s="54" t="s">
        <v>642</v>
      </c>
      <c r="D119" s="46" t="s">
        <v>643</v>
      </c>
      <c r="E119" s="46" t="s">
        <v>554</v>
      </c>
      <c r="F119" s="39" t="s">
        <v>536</v>
      </c>
      <c r="G119" s="88" t="s">
        <v>644</v>
      </c>
      <c r="H119" s="89" t="s">
        <v>645</v>
      </c>
      <c r="I119" s="88" t="s">
        <v>646</v>
      </c>
      <c r="J119" s="39" t="s">
        <v>77</v>
      </c>
      <c r="K119" s="39" t="s">
        <v>94</v>
      </c>
      <c r="L119" s="39" t="s">
        <v>38</v>
      </c>
      <c r="M119" s="44"/>
      <c r="N119" s="39" t="s">
        <v>39</v>
      </c>
      <c r="O119" s="44"/>
      <c r="P119" s="45"/>
    </row>
    <row r="120" spans="1:16" ht="15.75" customHeight="1">
      <c r="A120" s="41" t="str">
        <f t="shared" si="0"/>
        <v>L-119</v>
      </c>
      <c r="B120" s="42" t="s">
        <v>49</v>
      </c>
      <c r="C120" s="46" t="s">
        <v>647</v>
      </c>
      <c r="D120" s="46" t="s">
        <v>648</v>
      </c>
      <c r="E120" s="46"/>
      <c r="F120" s="39" t="s">
        <v>536</v>
      </c>
      <c r="G120" s="55" t="s">
        <v>649</v>
      </c>
      <c r="H120" s="46" t="s">
        <v>650</v>
      </c>
      <c r="I120" s="55" t="s">
        <v>651</v>
      </c>
      <c r="J120" s="39" t="s">
        <v>77</v>
      </c>
      <c r="K120" s="39" t="s">
        <v>94</v>
      </c>
      <c r="L120" s="39" t="s">
        <v>38</v>
      </c>
      <c r="M120" s="44"/>
      <c r="N120" s="39" t="s">
        <v>39</v>
      </c>
      <c r="O120" s="44"/>
      <c r="P120" s="45" t="s">
        <v>390</v>
      </c>
    </row>
    <row r="121" spans="1:16" ht="15.75" customHeight="1">
      <c r="A121" s="41" t="str">
        <f t="shared" si="0"/>
        <v>L-120</v>
      </c>
      <c r="B121" s="42" t="s">
        <v>49</v>
      </c>
      <c r="C121" s="46" t="s">
        <v>652</v>
      </c>
      <c r="D121" s="46" t="s">
        <v>653</v>
      </c>
      <c r="E121" s="46"/>
      <c r="F121" s="39" t="s">
        <v>536</v>
      </c>
      <c r="G121" s="55" t="s">
        <v>654</v>
      </c>
      <c r="H121" s="46" t="s">
        <v>655</v>
      </c>
      <c r="I121" s="90" t="s">
        <v>656</v>
      </c>
      <c r="J121" s="39" t="s">
        <v>77</v>
      </c>
      <c r="K121" s="39" t="s">
        <v>37</v>
      </c>
      <c r="L121" s="39" t="s">
        <v>38</v>
      </c>
      <c r="M121" s="44"/>
      <c r="N121" s="39" t="s">
        <v>39</v>
      </c>
      <c r="O121" s="44"/>
      <c r="P121" s="45" t="s">
        <v>657</v>
      </c>
    </row>
    <row r="122" spans="1:16" ht="15.75" customHeight="1">
      <c r="A122" s="41" t="str">
        <f t="shared" si="0"/>
        <v>L-121</v>
      </c>
      <c r="B122" s="42" t="s">
        <v>49</v>
      </c>
      <c r="C122" s="46" t="s">
        <v>658</v>
      </c>
      <c r="D122" s="46"/>
      <c r="E122" s="46" t="s">
        <v>435</v>
      </c>
      <c r="F122" s="39" t="s">
        <v>536</v>
      </c>
      <c r="G122" s="55" t="s">
        <v>659</v>
      </c>
      <c r="H122" s="46" t="s">
        <v>660</v>
      </c>
      <c r="I122" s="91" t="s">
        <v>661</v>
      </c>
      <c r="J122" s="39" t="s">
        <v>77</v>
      </c>
      <c r="K122" s="39" t="s">
        <v>37</v>
      </c>
      <c r="L122" s="39" t="s">
        <v>48</v>
      </c>
      <c r="M122" s="44"/>
      <c r="N122" s="39" t="s">
        <v>39</v>
      </c>
      <c r="O122" s="44"/>
      <c r="P122" s="45" t="s">
        <v>662</v>
      </c>
    </row>
    <row r="123" spans="1:16" ht="15.75" customHeight="1">
      <c r="A123" s="41" t="str">
        <f t="shared" si="0"/>
        <v>L-122</v>
      </c>
      <c r="B123" s="42" t="s">
        <v>49</v>
      </c>
      <c r="C123" s="46" t="s">
        <v>663</v>
      </c>
      <c r="D123" s="46"/>
      <c r="E123" s="46"/>
      <c r="F123" s="39" t="s">
        <v>536</v>
      </c>
      <c r="G123" s="48" t="s">
        <v>664</v>
      </c>
      <c r="H123" s="46" t="s">
        <v>665</v>
      </c>
      <c r="I123" s="92" t="s">
        <v>666</v>
      </c>
      <c r="J123" s="39" t="s">
        <v>77</v>
      </c>
      <c r="K123" s="39" t="s">
        <v>94</v>
      </c>
      <c r="L123" s="39" t="s">
        <v>38</v>
      </c>
      <c r="M123" s="44"/>
      <c r="N123" s="39" t="s">
        <v>39</v>
      </c>
      <c r="O123" s="44"/>
      <c r="P123" s="45" t="s">
        <v>390</v>
      </c>
    </row>
    <row r="124" spans="1:16" ht="15.75" customHeight="1">
      <c r="A124" s="41" t="str">
        <f t="shared" si="0"/>
        <v>L-123</v>
      </c>
      <c r="B124" s="42" t="s">
        <v>49</v>
      </c>
      <c r="C124" s="46" t="s">
        <v>667</v>
      </c>
      <c r="D124" s="46" t="s">
        <v>668</v>
      </c>
      <c r="E124" s="46" t="s">
        <v>42</v>
      </c>
      <c r="F124" s="39" t="s">
        <v>536</v>
      </c>
      <c r="G124" s="48" t="s">
        <v>669</v>
      </c>
      <c r="H124" s="46" t="s">
        <v>670</v>
      </c>
      <c r="I124" s="93" t="s">
        <v>671</v>
      </c>
      <c r="J124" s="39" t="s">
        <v>77</v>
      </c>
      <c r="K124" s="39" t="s">
        <v>97</v>
      </c>
      <c r="L124" s="39" t="s">
        <v>48</v>
      </c>
      <c r="M124" s="44"/>
      <c r="N124" s="39" t="s">
        <v>39</v>
      </c>
      <c r="O124" s="44"/>
      <c r="P124" s="45" t="s">
        <v>672</v>
      </c>
    </row>
    <row r="125" spans="1:16" ht="15.75" customHeight="1">
      <c r="A125" s="41" t="str">
        <f t="shared" si="0"/>
        <v>L-124</v>
      </c>
      <c r="B125" s="42" t="s">
        <v>49</v>
      </c>
      <c r="C125" s="46" t="s">
        <v>673</v>
      </c>
      <c r="D125" s="46"/>
      <c r="E125" s="46"/>
      <c r="F125" s="39" t="s">
        <v>536</v>
      </c>
      <c r="G125" s="55" t="s">
        <v>674</v>
      </c>
      <c r="H125" s="46" t="s">
        <v>675</v>
      </c>
      <c r="I125" s="46"/>
      <c r="J125" s="39" t="s">
        <v>77</v>
      </c>
      <c r="K125" s="39" t="s">
        <v>94</v>
      </c>
      <c r="L125" s="39" t="s">
        <v>48</v>
      </c>
      <c r="M125" s="44"/>
      <c r="N125" s="39" t="s">
        <v>39</v>
      </c>
      <c r="O125" s="44"/>
      <c r="P125" s="45" t="s">
        <v>676</v>
      </c>
    </row>
    <row r="126" spans="1:16" ht="15.75" customHeight="1">
      <c r="A126" s="41" t="str">
        <f t="shared" si="0"/>
        <v>L-125</v>
      </c>
      <c r="B126" s="42" t="s">
        <v>49</v>
      </c>
      <c r="C126" s="46" t="s">
        <v>677</v>
      </c>
      <c r="D126" s="46" t="s">
        <v>678</v>
      </c>
      <c r="E126" s="46" t="s">
        <v>42</v>
      </c>
      <c r="F126" s="39" t="s">
        <v>536</v>
      </c>
      <c r="G126" s="55" t="s">
        <v>679</v>
      </c>
      <c r="H126" s="46" t="s">
        <v>680</v>
      </c>
      <c r="I126" s="94" t="s">
        <v>681</v>
      </c>
      <c r="J126" s="39" t="s">
        <v>77</v>
      </c>
      <c r="K126" s="39" t="s">
        <v>316</v>
      </c>
      <c r="L126" s="39" t="s">
        <v>83</v>
      </c>
      <c r="M126" s="44"/>
      <c r="N126" s="39" t="s">
        <v>39</v>
      </c>
      <c r="O126" s="44"/>
      <c r="P126" s="45"/>
    </row>
    <row r="127" spans="1:16" ht="15.75" customHeight="1">
      <c r="A127" s="41" t="str">
        <f t="shared" si="0"/>
        <v>L-126</v>
      </c>
      <c r="B127" s="42" t="s">
        <v>49</v>
      </c>
      <c r="C127" s="46" t="s">
        <v>682</v>
      </c>
      <c r="D127" s="46" t="s">
        <v>682</v>
      </c>
      <c r="E127" s="46"/>
      <c r="F127" s="39" t="s">
        <v>536</v>
      </c>
      <c r="G127" s="46"/>
      <c r="H127" s="46" t="s">
        <v>683</v>
      </c>
      <c r="I127" s="46"/>
      <c r="J127" s="39" t="s">
        <v>77</v>
      </c>
      <c r="K127" s="39" t="s">
        <v>97</v>
      </c>
      <c r="L127" s="39" t="s">
        <v>48</v>
      </c>
      <c r="M127" s="44"/>
      <c r="N127" s="39" t="s">
        <v>39</v>
      </c>
      <c r="O127" s="44"/>
      <c r="P127" s="45"/>
    </row>
    <row r="128" spans="1:16" ht="15.75" customHeight="1">
      <c r="A128" s="41" t="str">
        <f t="shared" si="0"/>
        <v>L-127</v>
      </c>
      <c r="B128" s="42" t="s">
        <v>49</v>
      </c>
      <c r="C128" s="46" t="s">
        <v>684</v>
      </c>
      <c r="D128" s="46" t="s">
        <v>684</v>
      </c>
      <c r="E128" s="46"/>
      <c r="F128" s="39" t="s">
        <v>536</v>
      </c>
      <c r="G128" s="46"/>
      <c r="H128" s="46" t="s">
        <v>685</v>
      </c>
      <c r="I128" s="46"/>
      <c r="J128" s="39" t="s">
        <v>77</v>
      </c>
      <c r="K128" s="39" t="s">
        <v>97</v>
      </c>
      <c r="L128" s="39" t="s">
        <v>48</v>
      </c>
      <c r="M128" s="44"/>
      <c r="N128" s="39" t="s">
        <v>39</v>
      </c>
      <c r="O128" s="44"/>
      <c r="P128" s="45"/>
    </row>
    <row r="129" spans="1:16" ht="15.75" customHeight="1">
      <c r="A129" s="41" t="str">
        <f t="shared" si="0"/>
        <v>L-128</v>
      </c>
      <c r="B129" s="42" t="s">
        <v>49</v>
      </c>
      <c r="C129" s="46" t="s">
        <v>686</v>
      </c>
      <c r="D129" s="46" t="s">
        <v>686</v>
      </c>
      <c r="E129" s="46"/>
      <c r="F129" s="39" t="s">
        <v>536</v>
      </c>
      <c r="G129" s="46"/>
      <c r="H129" s="46" t="s">
        <v>687</v>
      </c>
      <c r="I129" s="46"/>
      <c r="J129" s="39" t="s">
        <v>77</v>
      </c>
      <c r="K129" s="39" t="s">
        <v>97</v>
      </c>
      <c r="L129" s="39" t="s">
        <v>48</v>
      </c>
      <c r="M129" s="44"/>
      <c r="N129" s="39" t="s">
        <v>39</v>
      </c>
      <c r="O129" s="44"/>
      <c r="P129" s="45"/>
    </row>
    <row r="130" spans="1:16" ht="15.75" customHeight="1">
      <c r="A130" s="41" t="str">
        <f t="shared" si="0"/>
        <v>L-129</v>
      </c>
      <c r="B130" s="42" t="s">
        <v>49</v>
      </c>
      <c r="C130" s="57" t="s">
        <v>688</v>
      </c>
      <c r="D130" s="46" t="s">
        <v>689</v>
      </c>
      <c r="E130" s="46" t="s">
        <v>690</v>
      </c>
      <c r="F130" s="39" t="s">
        <v>536</v>
      </c>
      <c r="G130" s="46"/>
      <c r="H130" s="46" t="s">
        <v>691</v>
      </c>
      <c r="I130" s="46" t="s">
        <v>692</v>
      </c>
      <c r="J130" s="39" t="s">
        <v>77</v>
      </c>
      <c r="K130" s="39" t="s">
        <v>97</v>
      </c>
      <c r="L130" s="39" t="s">
        <v>48</v>
      </c>
      <c r="M130" s="44"/>
      <c r="N130" s="39" t="s">
        <v>39</v>
      </c>
      <c r="O130" s="44"/>
      <c r="P130" s="45"/>
    </row>
    <row r="131" spans="1:16" ht="15.75" customHeight="1">
      <c r="A131" s="41" t="str">
        <f t="shared" si="0"/>
        <v>L-130</v>
      </c>
      <c r="B131" s="42" t="s">
        <v>49</v>
      </c>
      <c r="C131" s="46" t="s">
        <v>693</v>
      </c>
      <c r="D131" s="46" t="s">
        <v>693</v>
      </c>
      <c r="E131" s="46"/>
      <c r="F131" s="39" t="s">
        <v>536</v>
      </c>
      <c r="G131" s="46"/>
      <c r="H131" s="46" t="s">
        <v>694</v>
      </c>
      <c r="I131" s="46"/>
      <c r="J131" s="39" t="s">
        <v>77</v>
      </c>
      <c r="K131" s="39" t="s">
        <v>97</v>
      </c>
      <c r="L131" s="39" t="s">
        <v>48</v>
      </c>
      <c r="M131" s="44"/>
      <c r="N131" s="39" t="s">
        <v>39</v>
      </c>
      <c r="O131" s="44"/>
      <c r="P131" s="45" t="s">
        <v>695</v>
      </c>
    </row>
    <row r="132" spans="1:16" ht="15.75" customHeight="1">
      <c r="A132" s="41" t="str">
        <f t="shared" si="0"/>
        <v>L-131</v>
      </c>
      <c r="B132" s="42" t="s">
        <v>49</v>
      </c>
      <c r="C132" s="46" t="s">
        <v>696</v>
      </c>
      <c r="D132" s="46" t="s">
        <v>696</v>
      </c>
      <c r="E132" s="46"/>
      <c r="F132" s="39" t="s">
        <v>536</v>
      </c>
      <c r="G132" s="46"/>
      <c r="H132" s="46" t="s">
        <v>697</v>
      </c>
      <c r="I132" s="46"/>
      <c r="J132" s="39" t="s">
        <v>77</v>
      </c>
      <c r="K132" s="39" t="s">
        <v>97</v>
      </c>
      <c r="L132" s="39" t="s">
        <v>48</v>
      </c>
      <c r="M132" s="44"/>
      <c r="N132" s="39" t="s">
        <v>39</v>
      </c>
      <c r="O132" s="44"/>
      <c r="P132" s="45"/>
    </row>
    <row r="133" spans="1:16" ht="15.75" customHeight="1">
      <c r="A133" s="41" t="str">
        <f t="shared" si="0"/>
        <v>L-132</v>
      </c>
      <c r="B133" s="42" t="s">
        <v>49</v>
      </c>
      <c r="C133" s="46" t="s">
        <v>698</v>
      </c>
      <c r="D133" s="46" t="s">
        <v>699</v>
      </c>
      <c r="E133" s="46"/>
      <c r="F133" s="39" t="s">
        <v>536</v>
      </c>
      <c r="G133" s="46"/>
      <c r="H133" s="46" t="s">
        <v>700</v>
      </c>
      <c r="I133" s="46"/>
      <c r="J133" s="39" t="s">
        <v>77</v>
      </c>
      <c r="K133" s="39" t="s">
        <v>97</v>
      </c>
      <c r="L133" s="39" t="s">
        <v>48</v>
      </c>
      <c r="M133" s="44"/>
      <c r="N133" s="39" t="s">
        <v>39</v>
      </c>
      <c r="O133" s="44"/>
      <c r="P133" s="45"/>
    </row>
    <row r="134" spans="1:16" ht="15.75" customHeight="1">
      <c r="A134" s="41" t="str">
        <f t="shared" si="0"/>
        <v>L-133</v>
      </c>
      <c r="B134" s="42" t="s">
        <v>49</v>
      </c>
      <c r="C134" s="46" t="s">
        <v>701</v>
      </c>
      <c r="D134" s="46" t="s">
        <v>701</v>
      </c>
      <c r="E134" s="46"/>
      <c r="F134" s="39" t="s">
        <v>536</v>
      </c>
      <c r="G134" s="46"/>
      <c r="H134" s="46" t="s">
        <v>702</v>
      </c>
      <c r="I134" s="46"/>
      <c r="J134" s="39" t="s">
        <v>77</v>
      </c>
      <c r="K134" s="39" t="s">
        <v>97</v>
      </c>
      <c r="L134" s="39" t="s">
        <v>48</v>
      </c>
      <c r="M134" s="44"/>
      <c r="N134" s="39" t="s">
        <v>39</v>
      </c>
      <c r="O134" s="44"/>
      <c r="P134" s="45"/>
    </row>
    <row r="135" spans="1:16" ht="15.75" customHeight="1">
      <c r="A135" s="41" t="str">
        <f t="shared" si="0"/>
        <v>L-134</v>
      </c>
      <c r="B135" s="42" t="s">
        <v>49</v>
      </c>
      <c r="C135" s="46" t="s">
        <v>703</v>
      </c>
      <c r="D135" s="46" t="s">
        <v>704</v>
      </c>
      <c r="E135" s="46"/>
      <c r="F135" s="39" t="s">
        <v>536</v>
      </c>
      <c r="G135" s="55" t="s">
        <v>705</v>
      </c>
      <c r="H135" s="46" t="s">
        <v>706</v>
      </c>
      <c r="I135" s="46"/>
      <c r="J135" s="39" t="s">
        <v>77</v>
      </c>
      <c r="K135" s="39" t="s">
        <v>37</v>
      </c>
      <c r="L135" s="39" t="s">
        <v>48</v>
      </c>
      <c r="M135" s="44"/>
      <c r="N135" s="39" t="s">
        <v>39</v>
      </c>
      <c r="O135" s="44"/>
      <c r="P135" s="45" t="s">
        <v>707</v>
      </c>
    </row>
    <row r="136" spans="1:16" ht="15.75" customHeight="1">
      <c r="A136" s="41" t="str">
        <f t="shared" si="0"/>
        <v>L-135</v>
      </c>
      <c r="B136" s="42" t="s">
        <v>49</v>
      </c>
      <c r="C136" s="46" t="s">
        <v>708</v>
      </c>
      <c r="D136" s="46" t="s">
        <v>709</v>
      </c>
      <c r="E136" s="46"/>
      <c r="F136" s="39" t="s">
        <v>536</v>
      </c>
      <c r="G136" s="46"/>
      <c r="H136" s="46" t="s">
        <v>710</v>
      </c>
      <c r="I136" s="46"/>
      <c r="J136" s="39" t="s">
        <v>77</v>
      </c>
      <c r="K136" s="39" t="s">
        <v>97</v>
      </c>
      <c r="L136" s="39" t="s">
        <v>48</v>
      </c>
      <c r="M136" s="44"/>
      <c r="N136" s="39" t="s">
        <v>39</v>
      </c>
      <c r="O136" s="44"/>
      <c r="P136" s="45"/>
    </row>
    <row r="137" spans="1:16" ht="15.75" customHeight="1">
      <c r="A137" s="41" t="str">
        <f t="shared" si="0"/>
        <v>L-136</v>
      </c>
      <c r="B137" s="42" t="s">
        <v>49</v>
      </c>
      <c r="C137" s="46" t="s">
        <v>711</v>
      </c>
      <c r="D137" s="46"/>
      <c r="E137" s="46" t="s">
        <v>712</v>
      </c>
      <c r="F137" s="39" t="s">
        <v>536</v>
      </c>
      <c r="G137" s="46"/>
      <c r="H137" s="46" t="s">
        <v>713</v>
      </c>
      <c r="I137" s="46"/>
      <c r="J137" s="39" t="s">
        <v>77</v>
      </c>
      <c r="K137" s="39" t="s">
        <v>97</v>
      </c>
      <c r="L137" s="39" t="s">
        <v>48</v>
      </c>
      <c r="M137" s="44"/>
      <c r="N137" s="39" t="s">
        <v>39</v>
      </c>
      <c r="O137" s="44"/>
      <c r="P137" s="45"/>
    </row>
    <row r="138" spans="1:16" ht="15.75" customHeight="1">
      <c r="A138" s="41" t="str">
        <f t="shared" si="0"/>
        <v>L-137</v>
      </c>
      <c r="B138" s="42" t="s">
        <v>49</v>
      </c>
      <c r="C138" s="46" t="s">
        <v>714</v>
      </c>
      <c r="D138" s="46"/>
      <c r="E138" s="46"/>
      <c r="F138" s="39" t="s">
        <v>536</v>
      </c>
      <c r="G138" s="55" t="s">
        <v>715</v>
      </c>
      <c r="H138" s="46" t="s">
        <v>716</v>
      </c>
      <c r="I138" s="46" t="s">
        <v>717</v>
      </c>
      <c r="J138" s="39" t="s">
        <v>77</v>
      </c>
      <c r="K138" s="39" t="s">
        <v>97</v>
      </c>
      <c r="L138" s="39" t="s">
        <v>48</v>
      </c>
      <c r="M138" s="44"/>
      <c r="N138" s="39" t="s">
        <v>39</v>
      </c>
      <c r="O138" s="44"/>
      <c r="P138" s="45"/>
    </row>
    <row r="139" spans="1:16" ht="15.75" customHeight="1">
      <c r="A139" s="41" t="str">
        <f t="shared" si="0"/>
        <v>L-138</v>
      </c>
      <c r="B139" s="42" t="s">
        <v>49</v>
      </c>
      <c r="C139" s="46" t="s">
        <v>718</v>
      </c>
      <c r="D139" s="46"/>
      <c r="E139" s="46"/>
      <c r="F139" s="39" t="s">
        <v>536</v>
      </c>
      <c r="G139" s="46"/>
      <c r="H139" s="46" t="s">
        <v>719</v>
      </c>
      <c r="I139" s="46"/>
      <c r="J139" s="39" t="s">
        <v>77</v>
      </c>
      <c r="K139" s="39" t="s">
        <v>97</v>
      </c>
      <c r="L139" s="39" t="s">
        <v>48</v>
      </c>
      <c r="M139" s="44"/>
      <c r="N139" s="39" t="s">
        <v>39</v>
      </c>
      <c r="O139" s="44"/>
      <c r="P139" s="45"/>
    </row>
    <row r="140" spans="1:16" ht="15.75" customHeight="1">
      <c r="A140" s="41" t="str">
        <f t="shared" si="0"/>
        <v>L-139</v>
      </c>
      <c r="B140" s="42" t="s">
        <v>49</v>
      </c>
      <c r="C140" s="46" t="s">
        <v>720</v>
      </c>
      <c r="D140" s="46" t="s">
        <v>721</v>
      </c>
      <c r="E140" s="46"/>
      <c r="F140" s="39" t="s">
        <v>536</v>
      </c>
      <c r="G140" s="55" t="s">
        <v>722</v>
      </c>
      <c r="H140" s="46" t="s">
        <v>723</v>
      </c>
      <c r="I140" s="95" t="s">
        <v>724</v>
      </c>
      <c r="J140" s="39" t="s">
        <v>77</v>
      </c>
      <c r="K140" s="39" t="s">
        <v>97</v>
      </c>
      <c r="L140" s="39" t="s">
        <v>48</v>
      </c>
      <c r="M140" s="44"/>
      <c r="N140" s="39" t="s">
        <v>39</v>
      </c>
      <c r="O140" s="44"/>
      <c r="P140" s="45"/>
    </row>
    <row r="141" spans="1:16" ht="15.75" customHeight="1">
      <c r="A141" s="41" t="str">
        <f t="shared" si="0"/>
        <v>L-140</v>
      </c>
      <c r="B141" s="42" t="s">
        <v>49</v>
      </c>
      <c r="C141" s="46" t="s">
        <v>725</v>
      </c>
      <c r="D141" s="46" t="s">
        <v>726</v>
      </c>
      <c r="E141" s="46"/>
      <c r="F141" s="39" t="s">
        <v>536</v>
      </c>
      <c r="G141" s="46"/>
      <c r="H141" s="46" t="s">
        <v>727</v>
      </c>
      <c r="I141" s="46"/>
      <c r="J141" s="39" t="s">
        <v>77</v>
      </c>
      <c r="K141" s="39" t="s">
        <v>97</v>
      </c>
      <c r="L141" s="39" t="s">
        <v>48</v>
      </c>
      <c r="M141" s="44"/>
      <c r="N141" s="39" t="s">
        <v>39</v>
      </c>
      <c r="O141" s="44"/>
      <c r="P141" s="45"/>
    </row>
    <row r="142" spans="1:16" ht="15.75" customHeight="1">
      <c r="A142" s="41" t="str">
        <f t="shared" si="0"/>
        <v>L-141</v>
      </c>
      <c r="B142" s="42" t="s">
        <v>49</v>
      </c>
      <c r="C142" s="46" t="s">
        <v>728</v>
      </c>
      <c r="D142" s="46"/>
      <c r="E142" s="46"/>
      <c r="F142" s="39" t="s">
        <v>536</v>
      </c>
      <c r="G142" s="46"/>
      <c r="H142" s="46" t="s">
        <v>729</v>
      </c>
      <c r="I142" s="46"/>
      <c r="J142" s="39" t="s">
        <v>77</v>
      </c>
      <c r="K142" s="39" t="s">
        <v>97</v>
      </c>
      <c r="L142" s="39" t="s">
        <v>48</v>
      </c>
      <c r="M142" s="44"/>
      <c r="N142" s="39" t="s">
        <v>39</v>
      </c>
      <c r="O142" s="44"/>
      <c r="P142" s="45"/>
    </row>
    <row r="143" spans="1:16" ht="15.75" customHeight="1">
      <c r="A143" s="41" t="str">
        <f t="shared" si="0"/>
        <v>L-142</v>
      </c>
      <c r="B143" s="42" t="s">
        <v>49</v>
      </c>
      <c r="C143" s="46" t="s">
        <v>730</v>
      </c>
      <c r="D143" s="46"/>
      <c r="E143" s="46"/>
      <c r="F143" s="39" t="s">
        <v>536</v>
      </c>
      <c r="G143" s="55" t="s">
        <v>731</v>
      </c>
      <c r="H143" s="46" t="s">
        <v>732</v>
      </c>
      <c r="I143" s="46"/>
      <c r="J143" s="39" t="s">
        <v>77</v>
      </c>
      <c r="K143" s="39" t="s">
        <v>97</v>
      </c>
      <c r="L143" s="39" t="s">
        <v>48</v>
      </c>
      <c r="M143" s="44"/>
      <c r="N143" s="39" t="s">
        <v>39</v>
      </c>
      <c r="O143" s="44"/>
      <c r="P143" s="45"/>
    </row>
    <row r="144" spans="1:16" ht="15.75" customHeight="1">
      <c r="A144" s="41" t="str">
        <f t="shared" si="0"/>
        <v>L-143</v>
      </c>
      <c r="B144" s="42" t="s">
        <v>49</v>
      </c>
      <c r="C144" s="46" t="s">
        <v>733</v>
      </c>
      <c r="D144" s="46" t="s">
        <v>734</v>
      </c>
      <c r="E144" s="46"/>
      <c r="F144" s="39" t="s">
        <v>536</v>
      </c>
      <c r="G144" s="46"/>
      <c r="H144" s="46" t="s">
        <v>735</v>
      </c>
      <c r="I144" s="46"/>
      <c r="J144" s="39" t="s">
        <v>77</v>
      </c>
      <c r="K144" s="39" t="s">
        <v>97</v>
      </c>
      <c r="L144" s="39" t="s">
        <v>48</v>
      </c>
      <c r="M144" s="44"/>
      <c r="N144" s="39" t="s">
        <v>39</v>
      </c>
      <c r="O144" s="44"/>
      <c r="P144" s="45"/>
    </row>
    <row r="145" spans="1:16" ht="15.75" customHeight="1">
      <c r="A145" s="41" t="str">
        <f t="shared" si="0"/>
        <v>L-144</v>
      </c>
      <c r="B145" s="42" t="s">
        <v>49</v>
      </c>
      <c r="C145" s="46" t="s">
        <v>736</v>
      </c>
      <c r="D145" s="46"/>
      <c r="E145" s="46"/>
      <c r="F145" s="39" t="s">
        <v>536</v>
      </c>
      <c r="G145" s="46"/>
      <c r="H145" s="46" t="s">
        <v>737</v>
      </c>
      <c r="I145" s="46"/>
      <c r="J145" s="39" t="s">
        <v>77</v>
      </c>
      <c r="K145" s="39" t="s">
        <v>97</v>
      </c>
      <c r="L145" s="39" t="s">
        <v>48</v>
      </c>
      <c r="M145" s="44"/>
      <c r="N145" s="39" t="s">
        <v>39</v>
      </c>
      <c r="O145" s="44"/>
      <c r="P145" s="45"/>
    </row>
    <row r="146" spans="1:16" ht="15.75" customHeight="1">
      <c r="A146" s="41" t="str">
        <f t="shared" si="0"/>
        <v>L-145</v>
      </c>
      <c r="B146" s="42" t="s">
        <v>49</v>
      </c>
      <c r="C146" s="46" t="s">
        <v>738</v>
      </c>
      <c r="D146" s="46" t="s">
        <v>738</v>
      </c>
      <c r="E146" s="46"/>
      <c r="F146" s="39" t="s">
        <v>536</v>
      </c>
      <c r="G146" s="46"/>
      <c r="H146" s="46" t="s">
        <v>739</v>
      </c>
      <c r="I146" s="46"/>
      <c r="J146" s="39" t="s">
        <v>77</v>
      </c>
      <c r="K146" s="39" t="s">
        <v>97</v>
      </c>
      <c r="L146" s="39" t="s">
        <v>48</v>
      </c>
      <c r="M146" s="44"/>
      <c r="N146" s="39" t="s">
        <v>39</v>
      </c>
      <c r="O146" s="44"/>
      <c r="P146" s="45"/>
    </row>
    <row r="147" spans="1:16" ht="15.75" customHeight="1">
      <c r="A147" s="41" t="str">
        <f t="shared" si="0"/>
        <v>L-146</v>
      </c>
      <c r="B147" s="42" t="s">
        <v>49</v>
      </c>
      <c r="C147" s="46" t="s">
        <v>740</v>
      </c>
      <c r="D147" s="46"/>
      <c r="E147" s="46"/>
      <c r="F147" s="39" t="s">
        <v>536</v>
      </c>
      <c r="G147" s="46"/>
      <c r="H147" s="46" t="s">
        <v>741</v>
      </c>
      <c r="I147" s="46"/>
      <c r="J147" s="39" t="s">
        <v>77</v>
      </c>
      <c r="K147" s="39" t="s">
        <v>97</v>
      </c>
      <c r="L147" s="39" t="s">
        <v>48</v>
      </c>
      <c r="M147" s="44"/>
      <c r="N147" s="39" t="s">
        <v>39</v>
      </c>
      <c r="O147" s="44"/>
      <c r="P147" s="45"/>
    </row>
    <row r="148" spans="1:16" ht="15.75" customHeight="1">
      <c r="A148" s="41" t="str">
        <f t="shared" si="0"/>
        <v>L-147</v>
      </c>
      <c r="B148" s="42" t="s">
        <v>49</v>
      </c>
      <c r="C148" s="46" t="s">
        <v>742</v>
      </c>
      <c r="D148" s="46" t="s">
        <v>743</v>
      </c>
      <c r="E148" s="46" t="s">
        <v>744</v>
      </c>
      <c r="F148" s="39" t="s">
        <v>745</v>
      </c>
      <c r="G148" s="57" t="s">
        <v>746</v>
      </c>
      <c r="H148" s="46" t="s">
        <v>747</v>
      </c>
      <c r="I148" s="51" t="s">
        <v>748</v>
      </c>
      <c r="J148" s="39" t="s">
        <v>77</v>
      </c>
      <c r="K148" s="39" t="s">
        <v>37</v>
      </c>
      <c r="L148" s="39" t="s">
        <v>48</v>
      </c>
      <c r="M148" s="44"/>
      <c r="N148" s="39" t="s">
        <v>39</v>
      </c>
      <c r="O148" s="44"/>
      <c r="P148" s="45" t="s">
        <v>749</v>
      </c>
    </row>
    <row r="149" spans="1:16" ht="15.75" customHeight="1">
      <c r="A149" s="41" t="str">
        <f t="shared" si="0"/>
        <v>L-148</v>
      </c>
      <c r="B149" s="42" t="s">
        <v>49</v>
      </c>
      <c r="C149" s="46" t="s">
        <v>750</v>
      </c>
      <c r="D149" s="46" t="s">
        <v>751</v>
      </c>
      <c r="E149" s="46" t="s">
        <v>59</v>
      </c>
      <c r="F149" s="39" t="s">
        <v>745</v>
      </c>
      <c r="G149" s="84" t="s">
        <v>752</v>
      </c>
      <c r="H149" s="46" t="s">
        <v>753</v>
      </c>
      <c r="I149" s="51" t="s">
        <v>754</v>
      </c>
      <c r="J149" s="39" t="s">
        <v>77</v>
      </c>
      <c r="K149" s="39" t="s">
        <v>37</v>
      </c>
      <c r="L149" s="39" t="s">
        <v>38</v>
      </c>
      <c r="M149" s="44"/>
      <c r="N149" s="39" t="s">
        <v>39</v>
      </c>
      <c r="O149" s="44"/>
      <c r="P149" s="45" t="s">
        <v>755</v>
      </c>
    </row>
    <row r="150" spans="1:16" ht="15.75" customHeight="1">
      <c r="A150" s="41" t="str">
        <f t="shared" si="0"/>
        <v>L-149</v>
      </c>
      <c r="B150" s="42" t="s">
        <v>49</v>
      </c>
      <c r="C150" s="46" t="s">
        <v>756</v>
      </c>
      <c r="D150" s="46" t="s">
        <v>757</v>
      </c>
      <c r="E150" s="46" t="s">
        <v>554</v>
      </c>
      <c r="F150" s="39" t="s">
        <v>745</v>
      </c>
      <c r="G150" s="57" t="s">
        <v>758</v>
      </c>
      <c r="H150" s="46" t="s">
        <v>759</v>
      </c>
      <c r="I150" s="46" t="s">
        <v>760</v>
      </c>
      <c r="J150" s="39" t="s">
        <v>77</v>
      </c>
      <c r="K150" s="39" t="s">
        <v>94</v>
      </c>
      <c r="L150" s="39" t="s">
        <v>38</v>
      </c>
      <c r="M150" s="44"/>
      <c r="N150" s="39" t="s">
        <v>39</v>
      </c>
      <c r="O150" s="44"/>
      <c r="P150" s="45" t="s">
        <v>761</v>
      </c>
    </row>
    <row r="151" spans="1:16" ht="15.75" customHeight="1">
      <c r="A151" s="41" t="str">
        <f t="shared" si="0"/>
        <v>L-150</v>
      </c>
      <c r="B151" s="42" t="s">
        <v>49</v>
      </c>
      <c r="C151" s="46" t="s">
        <v>762</v>
      </c>
      <c r="D151" s="46" t="s">
        <v>763</v>
      </c>
      <c r="E151" s="46"/>
      <c r="F151" s="39" t="s">
        <v>536</v>
      </c>
      <c r="G151" s="48" t="s">
        <v>764</v>
      </c>
      <c r="H151" s="46" t="s">
        <v>765</v>
      </c>
      <c r="I151" s="96" t="s">
        <v>766</v>
      </c>
      <c r="J151" s="39" t="s">
        <v>77</v>
      </c>
      <c r="K151" s="39" t="s">
        <v>94</v>
      </c>
      <c r="L151" s="39" t="s">
        <v>48</v>
      </c>
      <c r="M151" s="44"/>
      <c r="N151" s="39" t="s">
        <v>39</v>
      </c>
      <c r="O151" s="44"/>
      <c r="P151" s="45"/>
    </row>
    <row r="152" spans="1:16" ht="15.75" customHeight="1">
      <c r="A152" s="41" t="str">
        <f t="shared" si="0"/>
        <v>L-151</v>
      </c>
      <c r="B152" s="42" t="s">
        <v>49</v>
      </c>
      <c r="C152" s="46" t="s">
        <v>767</v>
      </c>
      <c r="D152" s="46" t="s">
        <v>768</v>
      </c>
      <c r="E152" s="46"/>
      <c r="F152" s="39" t="s">
        <v>745</v>
      </c>
      <c r="G152" s="48" t="s">
        <v>769</v>
      </c>
      <c r="H152" s="46" t="s">
        <v>770</v>
      </c>
      <c r="I152" s="97" t="s">
        <v>771</v>
      </c>
      <c r="J152" s="39" t="s">
        <v>77</v>
      </c>
      <c r="K152" s="39" t="s">
        <v>94</v>
      </c>
      <c r="L152" s="39" t="s">
        <v>38</v>
      </c>
      <c r="M152" s="44"/>
      <c r="N152" s="39" t="s">
        <v>39</v>
      </c>
      <c r="O152" s="44"/>
      <c r="P152" s="45"/>
    </row>
    <row r="153" spans="1:16" ht="15.75" customHeight="1">
      <c r="A153" s="41" t="str">
        <f t="shared" si="0"/>
        <v>L-152</v>
      </c>
      <c r="B153" s="42" t="s">
        <v>49</v>
      </c>
      <c r="C153" s="46" t="s">
        <v>772</v>
      </c>
      <c r="D153" s="46" t="s">
        <v>773</v>
      </c>
      <c r="E153" s="46"/>
      <c r="F153" s="39" t="s">
        <v>745</v>
      </c>
      <c r="G153" s="55" t="s">
        <v>774</v>
      </c>
      <c r="H153" s="46" t="s">
        <v>775</v>
      </c>
      <c r="I153" s="46" t="s">
        <v>776</v>
      </c>
      <c r="J153" s="39" t="s">
        <v>77</v>
      </c>
      <c r="K153" s="39" t="s">
        <v>37</v>
      </c>
      <c r="L153" s="39" t="s">
        <v>38</v>
      </c>
      <c r="M153" s="44"/>
      <c r="N153" s="39" t="s">
        <v>39</v>
      </c>
      <c r="O153" s="44"/>
      <c r="P153" s="45" t="s">
        <v>390</v>
      </c>
    </row>
    <row r="154" spans="1:16" ht="15.75" customHeight="1">
      <c r="A154" s="41" t="str">
        <f t="shared" si="0"/>
        <v>L-153</v>
      </c>
      <c r="B154" s="42" t="s">
        <v>49</v>
      </c>
      <c r="C154" s="46" t="s">
        <v>777</v>
      </c>
      <c r="D154" s="46" t="s">
        <v>778</v>
      </c>
      <c r="E154" s="46" t="s">
        <v>554</v>
      </c>
      <c r="F154" s="39" t="s">
        <v>745</v>
      </c>
      <c r="G154" s="55" t="s">
        <v>779</v>
      </c>
      <c r="H154" s="46" t="s">
        <v>780</v>
      </c>
      <c r="I154" s="51" t="s">
        <v>781</v>
      </c>
      <c r="J154" s="39" t="s">
        <v>77</v>
      </c>
      <c r="K154" s="39" t="s">
        <v>94</v>
      </c>
      <c r="L154" s="39" t="s">
        <v>48</v>
      </c>
      <c r="M154" s="44"/>
      <c r="N154" s="39" t="s">
        <v>39</v>
      </c>
      <c r="O154" s="44"/>
      <c r="P154" s="45" t="s">
        <v>782</v>
      </c>
    </row>
    <row r="155" spans="1:16" ht="15.75" customHeight="1">
      <c r="A155" s="41" t="str">
        <f t="shared" si="0"/>
        <v>L-154</v>
      </c>
      <c r="B155" s="42" t="s">
        <v>49</v>
      </c>
      <c r="C155" s="46" t="s">
        <v>783</v>
      </c>
      <c r="D155" s="46" t="s">
        <v>784</v>
      </c>
      <c r="E155" s="46" t="s">
        <v>59</v>
      </c>
      <c r="F155" s="39" t="s">
        <v>745</v>
      </c>
      <c r="G155" s="48" t="s">
        <v>785</v>
      </c>
      <c r="H155" s="46" t="s">
        <v>786</v>
      </c>
      <c r="I155" s="98" t="s">
        <v>787</v>
      </c>
      <c r="J155" s="39" t="s">
        <v>77</v>
      </c>
      <c r="K155" s="39" t="s">
        <v>94</v>
      </c>
      <c r="L155" s="39" t="s">
        <v>48</v>
      </c>
      <c r="M155" s="44"/>
      <c r="N155" s="39" t="s">
        <v>39</v>
      </c>
      <c r="O155" s="44"/>
      <c r="P155" s="45" t="s">
        <v>788</v>
      </c>
    </row>
    <row r="156" spans="1:16" ht="15.75" customHeight="1">
      <c r="A156" s="41" t="str">
        <f t="shared" si="0"/>
        <v>L-155</v>
      </c>
      <c r="B156" s="42" t="s">
        <v>49</v>
      </c>
      <c r="C156" s="46" t="s">
        <v>789</v>
      </c>
      <c r="D156" s="46" t="s">
        <v>790</v>
      </c>
      <c r="E156" s="46"/>
      <c r="F156" s="39" t="s">
        <v>745</v>
      </c>
      <c r="G156" s="57" t="s">
        <v>791</v>
      </c>
      <c r="H156" s="46" t="s">
        <v>792</v>
      </c>
      <c r="I156" s="99" t="s">
        <v>793</v>
      </c>
      <c r="J156" s="39" t="s">
        <v>77</v>
      </c>
      <c r="K156" s="39" t="s">
        <v>37</v>
      </c>
      <c r="L156" s="39" t="s">
        <v>38</v>
      </c>
      <c r="M156" s="44"/>
      <c r="N156" s="39" t="s">
        <v>39</v>
      </c>
      <c r="O156" s="44"/>
      <c r="P156" s="45" t="s">
        <v>788</v>
      </c>
    </row>
    <row r="157" spans="1:16" ht="15.75" customHeight="1">
      <c r="A157" s="41" t="str">
        <f t="shared" si="0"/>
        <v>L-156</v>
      </c>
      <c r="B157" s="42" t="s">
        <v>49</v>
      </c>
      <c r="C157" s="46" t="s">
        <v>794</v>
      </c>
      <c r="D157" s="46" t="s">
        <v>795</v>
      </c>
      <c r="E157" s="46"/>
      <c r="F157" s="39" t="s">
        <v>745</v>
      </c>
      <c r="G157" s="57" t="s">
        <v>796</v>
      </c>
      <c r="H157" s="46" t="s">
        <v>797</v>
      </c>
      <c r="I157" s="46" t="s">
        <v>798</v>
      </c>
      <c r="J157" s="39" t="s">
        <v>77</v>
      </c>
      <c r="K157" s="39" t="s">
        <v>37</v>
      </c>
      <c r="L157" s="39" t="s">
        <v>38</v>
      </c>
      <c r="M157" s="44"/>
      <c r="N157" s="39" t="s">
        <v>39</v>
      </c>
      <c r="O157" s="44"/>
      <c r="P157" s="45"/>
    </row>
    <row r="158" spans="1:16" ht="15.75" customHeight="1">
      <c r="A158" s="41" t="str">
        <f t="shared" si="0"/>
        <v>L-157</v>
      </c>
      <c r="B158" s="42" t="s">
        <v>49</v>
      </c>
      <c r="C158" s="46" t="s">
        <v>799</v>
      </c>
      <c r="D158" s="46" t="s">
        <v>800</v>
      </c>
      <c r="E158" s="46"/>
      <c r="F158" s="39" t="s">
        <v>745</v>
      </c>
      <c r="G158" s="46"/>
      <c r="H158" s="46" t="s">
        <v>801</v>
      </c>
      <c r="I158" s="46"/>
      <c r="J158" s="39" t="s">
        <v>77</v>
      </c>
      <c r="K158" s="39" t="s">
        <v>97</v>
      </c>
      <c r="L158" s="39" t="s">
        <v>48</v>
      </c>
      <c r="M158" s="44"/>
      <c r="N158" s="39" t="s">
        <v>39</v>
      </c>
      <c r="O158" s="44"/>
      <c r="P158" s="45" t="s">
        <v>802</v>
      </c>
    </row>
    <row r="159" spans="1:16" ht="15.75" customHeight="1">
      <c r="A159" s="41" t="str">
        <f t="shared" si="0"/>
        <v>L-158</v>
      </c>
      <c r="B159" s="42" t="s">
        <v>49</v>
      </c>
      <c r="C159" s="46" t="s">
        <v>803</v>
      </c>
      <c r="D159" s="46" t="s">
        <v>804</v>
      </c>
      <c r="E159" s="46"/>
      <c r="F159" s="39" t="s">
        <v>745</v>
      </c>
      <c r="G159" s="57" t="s">
        <v>805</v>
      </c>
      <c r="H159" s="46" t="s">
        <v>806</v>
      </c>
      <c r="I159" s="46" t="s">
        <v>807</v>
      </c>
      <c r="J159" s="39" t="s">
        <v>77</v>
      </c>
      <c r="K159" s="39" t="s">
        <v>37</v>
      </c>
      <c r="L159" s="39" t="s">
        <v>38</v>
      </c>
      <c r="M159" s="44"/>
      <c r="N159" s="39" t="s">
        <v>39</v>
      </c>
      <c r="O159" s="44"/>
      <c r="P159" s="45" t="s">
        <v>782</v>
      </c>
    </row>
    <row r="160" spans="1:16" ht="15.75" customHeight="1">
      <c r="A160" s="41" t="str">
        <f t="shared" si="0"/>
        <v>L-159</v>
      </c>
      <c r="B160" s="42" t="s">
        <v>49</v>
      </c>
      <c r="C160" s="46" t="s">
        <v>808</v>
      </c>
      <c r="D160" s="46" t="s">
        <v>809</v>
      </c>
      <c r="E160" s="46"/>
      <c r="F160" s="39" t="s">
        <v>745</v>
      </c>
      <c r="G160" s="46"/>
      <c r="H160" s="46" t="s">
        <v>810</v>
      </c>
      <c r="I160" s="46"/>
      <c r="J160" s="39" t="s">
        <v>77</v>
      </c>
      <c r="K160" s="39" t="s">
        <v>97</v>
      </c>
      <c r="L160" s="39" t="s">
        <v>48</v>
      </c>
      <c r="M160" s="44"/>
      <c r="N160" s="39" t="s">
        <v>39</v>
      </c>
      <c r="O160" s="44"/>
      <c r="P160" s="45" t="s">
        <v>802</v>
      </c>
    </row>
    <row r="161" spans="1:16" ht="15.75" customHeight="1">
      <c r="A161" s="41" t="str">
        <f t="shared" si="0"/>
        <v>L-160</v>
      </c>
      <c r="B161" s="42" t="s">
        <v>49</v>
      </c>
      <c r="C161" s="46" t="s">
        <v>811</v>
      </c>
      <c r="D161" s="46" t="s">
        <v>812</v>
      </c>
      <c r="E161" s="46"/>
      <c r="F161" s="39" t="s">
        <v>745</v>
      </c>
      <c r="G161" s="57" t="s">
        <v>813</v>
      </c>
      <c r="H161" s="46" t="s">
        <v>814</v>
      </c>
      <c r="I161" s="46" t="s">
        <v>815</v>
      </c>
      <c r="J161" s="39" t="s">
        <v>77</v>
      </c>
      <c r="K161" s="39" t="s">
        <v>316</v>
      </c>
      <c r="L161" s="39" t="s">
        <v>38</v>
      </c>
      <c r="M161" s="44"/>
      <c r="N161" s="39" t="s">
        <v>39</v>
      </c>
      <c r="O161" s="44"/>
      <c r="P161" s="45"/>
    </row>
    <row r="162" spans="1:16" ht="15.75" customHeight="1">
      <c r="A162" s="41" t="str">
        <f t="shared" si="0"/>
        <v>L-161</v>
      </c>
      <c r="B162" s="42" t="s">
        <v>49</v>
      </c>
      <c r="C162" s="46" t="s">
        <v>816</v>
      </c>
      <c r="D162" s="46" t="s">
        <v>817</v>
      </c>
      <c r="E162" s="46"/>
      <c r="F162" s="39" t="s">
        <v>745</v>
      </c>
      <c r="G162" s="46"/>
      <c r="H162" s="46" t="s">
        <v>818</v>
      </c>
      <c r="I162" s="46"/>
      <c r="J162" s="39" t="s">
        <v>77</v>
      </c>
      <c r="K162" s="39" t="s">
        <v>97</v>
      </c>
      <c r="L162" s="39" t="s">
        <v>48</v>
      </c>
      <c r="M162" s="44"/>
      <c r="N162" s="39" t="s">
        <v>39</v>
      </c>
      <c r="O162" s="44"/>
      <c r="P162" s="45" t="s">
        <v>452</v>
      </c>
    </row>
    <row r="163" spans="1:16" ht="15.75" customHeight="1">
      <c r="A163" s="41" t="str">
        <f t="shared" si="0"/>
        <v>L-162</v>
      </c>
      <c r="B163" s="42" t="s">
        <v>49</v>
      </c>
      <c r="C163" s="46" t="s">
        <v>819</v>
      </c>
      <c r="D163" s="46" t="s">
        <v>820</v>
      </c>
      <c r="E163" s="46"/>
      <c r="F163" s="39" t="s">
        <v>745</v>
      </c>
      <c r="G163" s="46"/>
      <c r="H163" s="46" t="s">
        <v>821</v>
      </c>
      <c r="I163" s="46"/>
      <c r="J163" s="39" t="s">
        <v>77</v>
      </c>
      <c r="K163" s="39" t="s">
        <v>97</v>
      </c>
      <c r="L163" s="39" t="s">
        <v>48</v>
      </c>
      <c r="M163" s="44"/>
      <c r="N163" s="39" t="s">
        <v>39</v>
      </c>
      <c r="O163" s="44"/>
      <c r="P163" s="45" t="s">
        <v>452</v>
      </c>
    </row>
    <row r="164" spans="1:16" ht="15.75" customHeight="1">
      <c r="A164" s="41" t="str">
        <f t="shared" si="0"/>
        <v>L-163</v>
      </c>
      <c r="B164" s="42" t="s">
        <v>49</v>
      </c>
      <c r="C164" s="46" t="s">
        <v>822</v>
      </c>
      <c r="D164" s="46" t="s">
        <v>823</v>
      </c>
      <c r="E164" s="46"/>
      <c r="F164" s="39" t="s">
        <v>824</v>
      </c>
      <c r="G164" s="51" t="s">
        <v>825</v>
      </c>
      <c r="H164" s="46" t="s">
        <v>826</v>
      </c>
      <c r="I164" s="55" t="s">
        <v>827</v>
      </c>
      <c r="J164" s="39" t="s">
        <v>77</v>
      </c>
      <c r="K164" s="39" t="s">
        <v>316</v>
      </c>
      <c r="L164" s="39" t="s">
        <v>83</v>
      </c>
      <c r="M164" s="44"/>
      <c r="N164" s="39" t="s">
        <v>39</v>
      </c>
      <c r="O164" s="44"/>
      <c r="P164" s="45"/>
    </row>
    <row r="165" spans="1:16" ht="15.75" customHeight="1">
      <c r="A165" s="41" t="str">
        <f t="shared" si="0"/>
        <v>L-164</v>
      </c>
      <c r="B165" s="42" t="s">
        <v>49</v>
      </c>
      <c r="C165" s="46" t="s">
        <v>828</v>
      </c>
      <c r="D165" s="46" t="s">
        <v>829</v>
      </c>
      <c r="E165" s="46"/>
      <c r="F165" s="39" t="s">
        <v>745</v>
      </c>
      <c r="G165" s="100" t="s">
        <v>830</v>
      </c>
      <c r="H165" s="46"/>
      <c r="I165" s="46"/>
      <c r="J165" s="39" t="s">
        <v>77</v>
      </c>
      <c r="K165" s="39" t="s">
        <v>37</v>
      </c>
      <c r="L165" s="39" t="s">
        <v>83</v>
      </c>
      <c r="M165" s="44"/>
      <c r="N165" s="39" t="s">
        <v>39</v>
      </c>
      <c r="O165" s="44"/>
      <c r="P165" s="45" t="s">
        <v>782</v>
      </c>
    </row>
    <row r="166" spans="1:16" ht="15.75" customHeight="1">
      <c r="A166" s="41" t="str">
        <f t="shared" si="0"/>
        <v>L-165</v>
      </c>
      <c r="B166" s="42" t="s">
        <v>49</v>
      </c>
      <c r="C166" s="46" t="s">
        <v>831</v>
      </c>
      <c r="D166" s="46" t="s">
        <v>832</v>
      </c>
      <c r="E166" s="46"/>
      <c r="F166" s="39" t="s">
        <v>745</v>
      </c>
      <c r="G166" s="101" t="s">
        <v>833</v>
      </c>
      <c r="H166" s="46" t="s">
        <v>834</v>
      </c>
      <c r="I166" s="46" t="s">
        <v>835</v>
      </c>
      <c r="J166" s="39" t="s">
        <v>77</v>
      </c>
      <c r="K166" s="39" t="s">
        <v>37</v>
      </c>
      <c r="L166" s="39" t="s">
        <v>48</v>
      </c>
      <c r="M166" s="44"/>
      <c r="N166" s="39" t="s">
        <v>39</v>
      </c>
      <c r="O166" s="44"/>
      <c r="P166" s="45"/>
    </row>
    <row r="167" spans="1:16" ht="15.75" customHeight="1">
      <c r="A167" s="41" t="str">
        <f t="shared" si="0"/>
        <v>L-166</v>
      </c>
      <c r="B167" s="42" t="s">
        <v>49</v>
      </c>
      <c r="C167" s="46" t="s">
        <v>836</v>
      </c>
      <c r="D167" s="46" t="s">
        <v>837</v>
      </c>
      <c r="E167" s="46"/>
      <c r="F167" s="39" t="s">
        <v>745</v>
      </c>
      <c r="G167" s="55" t="s">
        <v>838</v>
      </c>
      <c r="H167" s="46" t="s">
        <v>839</v>
      </c>
      <c r="I167" s="55" t="s">
        <v>840</v>
      </c>
      <c r="J167" s="39" t="s">
        <v>77</v>
      </c>
      <c r="K167" s="39" t="s">
        <v>37</v>
      </c>
      <c r="L167" s="39" t="s">
        <v>83</v>
      </c>
      <c r="M167" s="44"/>
      <c r="N167" s="39" t="s">
        <v>39</v>
      </c>
      <c r="O167" s="44"/>
      <c r="P167" s="45"/>
    </row>
    <row r="168" spans="1:16" ht="15.75" customHeight="1">
      <c r="A168" s="41" t="str">
        <f t="shared" si="0"/>
        <v>L-167</v>
      </c>
      <c r="B168" s="42" t="s">
        <v>49</v>
      </c>
      <c r="C168" s="46" t="s">
        <v>841</v>
      </c>
      <c r="D168" s="46" t="s">
        <v>841</v>
      </c>
      <c r="E168" s="46"/>
      <c r="F168" s="39" t="s">
        <v>745</v>
      </c>
      <c r="G168" s="51" t="s">
        <v>842</v>
      </c>
      <c r="H168" s="46" t="s">
        <v>843</v>
      </c>
      <c r="I168" s="50"/>
      <c r="J168" s="39" t="s">
        <v>77</v>
      </c>
      <c r="K168" s="39" t="s">
        <v>97</v>
      </c>
      <c r="L168" s="39" t="s">
        <v>48</v>
      </c>
      <c r="M168" s="44"/>
      <c r="N168" s="39" t="s">
        <v>39</v>
      </c>
      <c r="O168" s="44"/>
      <c r="P168" s="45" t="s">
        <v>452</v>
      </c>
    </row>
    <row r="169" spans="1:16" ht="15.75" customHeight="1">
      <c r="A169" s="41" t="str">
        <f t="shared" si="0"/>
        <v>L-168</v>
      </c>
      <c r="B169" s="42" t="s">
        <v>49</v>
      </c>
      <c r="C169" s="46" t="s">
        <v>844</v>
      </c>
      <c r="D169" s="46" t="s">
        <v>844</v>
      </c>
      <c r="E169" s="46"/>
      <c r="F169" s="39" t="s">
        <v>745</v>
      </c>
      <c r="G169" s="46"/>
      <c r="H169" s="46" t="s">
        <v>845</v>
      </c>
      <c r="I169" s="46"/>
      <c r="J169" s="39" t="s">
        <v>77</v>
      </c>
      <c r="K169" s="39" t="s">
        <v>97</v>
      </c>
      <c r="L169" s="39" t="s">
        <v>48</v>
      </c>
      <c r="M169" s="44"/>
      <c r="N169" s="39" t="s">
        <v>39</v>
      </c>
      <c r="O169" s="44"/>
      <c r="P169" s="45" t="s">
        <v>452</v>
      </c>
    </row>
    <row r="170" spans="1:16" ht="15.75" customHeight="1">
      <c r="A170" s="41" t="str">
        <f t="shared" si="0"/>
        <v>L-169</v>
      </c>
      <c r="B170" s="42" t="s">
        <v>49</v>
      </c>
      <c r="C170" s="46" t="s">
        <v>846</v>
      </c>
      <c r="D170" s="46" t="s">
        <v>847</v>
      </c>
      <c r="E170" s="46"/>
      <c r="F170" s="39" t="s">
        <v>745</v>
      </c>
      <c r="G170" s="48" t="s">
        <v>848</v>
      </c>
      <c r="H170" s="46" t="s">
        <v>849</v>
      </c>
      <c r="I170" s="46" t="s">
        <v>850</v>
      </c>
      <c r="J170" s="39" t="s">
        <v>77</v>
      </c>
      <c r="K170" s="39" t="s">
        <v>94</v>
      </c>
      <c r="L170" s="39" t="s">
        <v>48</v>
      </c>
      <c r="M170" s="44"/>
      <c r="N170" s="39" t="s">
        <v>39</v>
      </c>
      <c r="O170" s="44"/>
      <c r="P170" s="45" t="s">
        <v>782</v>
      </c>
    </row>
    <row r="171" spans="1:16" ht="15.75" customHeight="1">
      <c r="A171" s="41" t="str">
        <f t="shared" si="0"/>
        <v>L-170</v>
      </c>
      <c r="B171" s="42" t="s">
        <v>49</v>
      </c>
      <c r="C171" s="46" t="s">
        <v>851</v>
      </c>
      <c r="D171" s="46" t="s">
        <v>852</v>
      </c>
      <c r="E171" s="46"/>
      <c r="F171" s="39" t="s">
        <v>745</v>
      </c>
      <c r="G171" s="46"/>
      <c r="H171" s="46" t="s">
        <v>853</v>
      </c>
      <c r="I171" s="46"/>
      <c r="J171" s="39" t="s">
        <v>77</v>
      </c>
      <c r="K171" s="39" t="s">
        <v>97</v>
      </c>
      <c r="L171" s="39" t="s">
        <v>48</v>
      </c>
      <c r="M171" s="44"/>
      <c r="N171" s="39" t="s">
        <v>39</v>
      </c>
      <c r="O171" s="44"/>
      <c r="P171" s="45" t="s">
        <v>452</v>
      </c>
    </row>
    <row r="172" spans="1:16" ht="15.75" customHeight="1">
      <c r="A172" s="41" t="str">
        <f t="shared" si="0"/>
        <v>L-171</v>
      </c>
      <c r="B172" s="42" t="s">
        <v>49</v>
      </c>
      <c r="C172" s="46" t="s">
        <v>854</v>
      </c>
      <c r="D172" s="46" t="s">
        <v>855</v>
      </c>
      <c r="E172" s="46"/>
      <c r="F172" s="39" t="s">
        <v>745</v>
      </c>
      <c r="G172" s="57" t="s">
        <v>856</v>
      </c>
      <c r="H172" s="46" t="s">
        <v>857</v>
      </c>
      <c r="I172" s="50" t="s">
        <v>858</v>
      </c>
      <c r="J172" s="39" t="s">
        <v>77</v>
      </c>
      <c r="K172" s="39" t="s">
        <v>37</v>
      </c>
      <c r="L172" s="39" t="s">
        <v>83</v>
      </c>
      <c r="M172" s="44"/>
      <c r="N172" s="39" t="s">
        <v>39</v>
      </c>
      <c r="O172" s="44"/>
      <c r="P172" s="45" t="s">
        <v>788</v>
      </c>
    </row>
    <row r="173" spans="1:16" ht="15.75" customHeight="1">
      <c r="A173" s="41" t="str">
        <f t="shared" si="0"/>
        <v>L-172</v>
      </c>
      <c r="B173" s="42" t="s">
        <v>49</v>
      </c>
      <c r="C173" s="46" t="s">
        <v>859</v>
      </c>
      <c r="D173" s="46" t="s">
        <v>859</v>
      </c>
      <c r="E173" s="46"/>
      <c r="F173" s="39" t="s">
        <v>745</v>
      </c>
      <c r="G173" s="46"/>
      <c r="H173" s="46" t="s">
        <v>860</v>
      </c>
      <c r="I173" s="46"/>
      <c r="J173" s="39" t="s">
        <v>77</v>
      </c>
      <c r="K173" s="39" t="s">
        <v>97</v>
      </c>
      <c r="L173" s="39" t="s">
        <v>48</v>
      </c>
      <c r="M173" s="44"/>
      <c r="N173" s="39" t="s">
        <v>39</v>
      </c>
      <c r="O173" s="44"/>
      <c r="P173" s="45" t="s">
        <v>452</v>
      </c>
    </row>
    <row r="174" spans="1:16" ht="15.75" customHeight="1">
      <c r="A174" s="41" t="str">
        <f t="shared" si="0"/>
        <v>L-173</v>
      </c>
      <c r="B174" s="42" t="s">
        <v>49</v>
      </c>
      <c r="C174" s="55" t="s">
        <v>861</v>
      </c>
      <c r="D174" s="55" t="s">
        <v>861</v>
      </c>
      <c r="E174" s="46"/>
      <c r="F174" s="39" t="s">
        <v>745</v>
      </c>
      <c r="G174" s="46"/>
      <c r="H174" s="46" t="s">
        <v>862</v>
      </c>
      <c r="I174" s="46"/>
      <c r="J174" s="39" t="s">
        <v>77</v>
      </c>
      <c r="K174" s="39" t="s">
        <v>97</v>
      </c>
      <c r="L174" s="39" t="s">
        <v>48</v>
      </c>
      <c r="M174" s="44"/>
      <c r="N174" s="39" t="s">
        <v>39</v>
      </c>
      <c r="O174" s="44"/>
      <c r="P174" s="45" t="s">
        <v>452</v>
      </c>
    </row>
    <row r="175" spans="1:16" ht="15.75" customHeight="1">
      <c r="A175" s="41" t="str">
        <f t="shared" si="0"/>
        <v>L-174</v>
      </c>
      <c r="B175" s="42" t="s">
        <v>49</v>
      </c>
      <c r="C175" s="102" t="s">
        <v>863</v>
      </c>
      <c r="D175" s="102" t="s">
        <v>863</v>
      </c>
      <c r="E175" s="46"/>
      <c r="F175" s="39" t="s">
        <v>745</v>
      </c>
      <c r="G175" s="46"/>
      <c r="H175" s="46" t="s">
        <v>864</v>
      </c>
      <c r="I175" s="46"/>
      <c r="J175" s="39" t="s">
        <v>77</v>
      </c>
      <c r="K175" s="39" t="s">
        <v>97</v>
      </c>
      <c r="L175" s="39" t="s">
        <v>48</v>
      </c>
      <c r="M175" s="44"/>
      <c r="N175" s="39" t="s">
        <v>39</v>
      </c>
      <c r="O175" s="44"/>
      <c r="P175" s="45" t="s">
        <v>452</v>
      </c>
    </row>
    <row r="176" spans="1:16" ht="15.75" customHeight="1">
      <c r="A176" s="41" t="str">
        <f t="shared" si="0"/>
        <v>L-175</v>
      </c>
      <c r="B176" s="42" t="s">
        <v>49</v>
      </c>
      <c r="C176" s="46" t="s">
        <v>865</v>
      </c>
      <c r="D176" s="46" t="s">
        <v>866</v>
      </c>
      <c r="E176" s="46"/>
      <c r="F176" s="39" t="s">
        <v>867</v>
      </c>
      <c r="G176" s="57" t="s">
        <v>868</v>
      </c>
      <c r="H176" s="46" t="s">
        <v>869</v>
      </c>
      <c r="I176" s="46" t="s">
        <v>870</v>
      </c>
      <c r="J176" s="39" t="s">
        <v>77</v>
      </c>
      <c r="K176" s="39" t="s">
        <v>279</v>
      </c>
      <c r="L176" s="39" t="s">
        <v>83</v>
      </c>
      <c r="M176" s="44"/>
      <c r="N176" s="39" t="s">
        <v>39</v>
      </c>
      <c r="O176" s="44"/>
      <c r="P176" s="45"/>
    </row>
    <row r="177" spans="1:16" ht="15.75" customHeight="1">
      <c r="A177" s="41" t="str">
        <f t="shared" si="0"/>
        <v>L-176</v>
      </c>
      <c r="B177" s="42" t="s">
        <v>49</v>
      </c>
      <c r="C177" s="46" t="s">
        <v>871</v>
      </c>
      <c r="D177" s="46" t="s">
        <v>872</v>
      </c>
      <c r="E177" s="46"/>
      <c r="F177" s="39" t="s">
        <v>745</v>
      </c>
      <c r="G177" s="57" t="s">
        <v>873</v>
      </c>
      <c r="H177" s="46" t="s">
        <v>874</v>
      </c>
      <c r="I177" s="46"/>
      <c r="J177" s="39" t="s">
        <v>77</v>
      </c>
      <c r="K177" s="39" t="s">
        <v>97</v>
      </c>
      <c r="L177" s="39" t="s">
        <v>48</v>
      </c>
      <c r="M177" s="44"/>
      <c r="N177" s="39" t="s">
        <v>39</v>
      </c>
      <c r="O177" s="44"/>
      <c r="P177" s="45" t="s">
        <v>452</v>
      </c>
    </row>
    <row r="178" spans="1:16" ht="15.75" customHeight="1">
      <c r="A178" s="41" t="str">
        <f t="shared" si="0"/>
        <v>L-177</v>
      </c>
      <c r="B178" s="42" t="s">
        <v>49</v>
      </c>
      <c r="C178" s="46" t="s">
        <v>875</v>
      </c>
      <c r="D178" s="46" t="s">
        <v>876</v>
      </c>
      <c r="E178" s="46"/>
      <c r="F178" s="39" t="s">
        <v>745</v>
      </c>
      <c r="G178" s="46"/>
      <c r="H178" s="46" t="s">
        <v>877</v>
      </c>
      <c r="I178" s="46"/>
      <c r="J178" s="39" t="s">
        <v>77</v>
      </c>
      <c r="K178" s="39" t="s">
        <v>97</v>
      </c>
      <c r="L178" s="39" t="s">
        <v>48</v>
      </c>
      <c r="M178" s="44"/>
      <c r="N178" s="39" t="s">
        <v>39</v>
      </c>
      <c r="O178" s="44"/>
      <c r="P178" s="45" t="s">
        <v>452</v>
      </c>
    </row>
    <row r="179" spans="1:16" ht="15.75" customHeight="1">
      <c r="A179" s="41" t="str">
        <f t="shared" si="0"/>
        <v>L-178</v>
      </c>
      <c r="B179" s="42" t="s">
        <v>49</v>
      </c>
      <c r="C179" s="46" t="s">
        <v>878</v>
      </c>
      <c r="D179" s="46" t="s">
        <v>879</v>
      </c>
      <c r="E179" s="46"/>
      <c r="F179" s="39" t="s">
        <v>745</v>
      </c>
      <c r="G179" s="46"/>
      <c r="H179" s="46" t="s">
        <v>880</v>
      </c>
      <c r="I179" s="46"/>
      <c r="J179" s="39" t="s">
        <v>77</v>
      </c>
      <c r="K179" s="39" t="s">
        <v>97</v>
      </c>
      <c r="L179" s="39" t="s">
        <v>48</v>
      </c>
      <c r="M179" s="44"/>
      <c r="N179" s="39" t="s">
        <v>39</v>
      </c>
      <c r="O179" s="44"/>
      <c r="P179" s="45" t="s">
        <v>452</v>
      </c>
    </row>
    <row r="180" spans="1:16" ht="15.75" customHeight="1">
      <c r="A180" s="41" t="str">
        <f t="shared" si="0"/>
        <v>L-179</v>
      </c>
      <c r="B180" s="42" t="s">
        <v>49</v>
      </c>
      <c r="C180" s="103" t="s">
        <v>881</v>
      </c>
      <c r="D180" s="103" t="s">
        <v>882</v>
      </c>
      <c r="E180" s="46"/>
      <c r="F180" s="39" t="s">
        <v>883</v>
      </c>
      <c r="G180" s="57" t="s">
        <v>884</v>
      </c>
      <c r="H180" s="46" t="s">
        <v>885</v>
      </c>
      <c r="I180" s="46"/>
      <c r="J180" s="39" t="s">
        <v>77</v>
      </c>
      <c r="K180" s="39" t="s">
        <v>97</v>
      </c>
      <c r="L180" s="39" t="s">
        <v>48</v>
      </c>
      <c r="M180" s="44"/>
      <c r="N180" s="39" t="s">
        <v>39</v>
      </c>
      <c r="O180" s="44"/>
      <c r="P180" s="45" t="s">
        <v>452</v>
      </c>
    </row>
    <row r="181" spans="1:16" ht="15.75" customHeight="1">
      <c r="A181" s="41" t="str">
        <f t="shared" si="0"/>
        <v>L-180</v>
      </c>
      <c r="B181" s="42" t="s">
        <v>49</v>
      </c>
      <c r="C181" s="46" t="s">
        <v>886</v>
      </c>
      <c r="D181" s="46" t="s">
        <v>886</v>
      </c>
      <c r="E181" s="46"/>
      <c r="F181" s="39" t="s">
        <v>745</v>
      </c>
      <c r="G181" s="55" t="s">
        <v>887</v>
      </c>
      <c r="H181" s="46" t="s">
        <v>888</v>
      </c>
      <c r="I181" s="46"/>
      <c r="J181" s="39" t="s">
        <v>77</v>
      </c>
      <c r="K181" s="39" t="s">
        <v>97</v>
      </c>
      <c r="L181" s="39" t="s">
        <v>48</v>
      </c>
      <c r="M181" s="44"/>
      <c r="N181" s="39" t="s">
        <v>39</v>
      </c>
      <c r="O181" s="44"/>
      <c r="P181" s="45" t="s">
        <v>452</v>
      </c>
    </row>
    <row r="182" spans="1:16" ht="15.75" customHeight="1">
      <c r="A182" s="41" t="str">
        <f t="shared" si="0"/>
        <v>L-181</v>
      </c>
      <c r="B182" s="42" t="s">
        <v>49</v>
      </c>
      <c r="C182" s="104" t="s">
        <v>889</v>
      </c>
      <c r="D182" s="46" t="s">
        <v>890</v>
      </c>
      <c r="E182" s="46"/>
      <c r="F182" s="39" t="s">
        <v>745</v>
      </c>
      <c r="G182" s="57" t="s">
        <v>891</v>
      </c>
      <c r="H182" s="46" t="s">
        <v>892</v>
      </c>
      <c r="I182" s="51" t="s">
        <v>893</v>
      </c>
      <c r="J182" s="39" t="s">
        <v>77</v>
      </c>
      <c r="K182" s="39" t="s">
        <v>97</v>
      </c>
      <c r="L182" s="39" t="s">
        <v>48</v>
      </c>
      <c r="M182" s="44"/>
      <c r="N182" s="39" t="s">
        <v>39</v>
      </c>
      <c r="O182" s="44"/>
      <c r="P182" s="45" t="s">
        <v>894</v>
      </c>
    </row>
    <row r="183" spans="1:16" ht="15.75" customHeight="1">
      <c r="A183" s="41" t="str">
        <f t="shared" si="0"/>
        <v>L-182</v>
      </c>
      <c r="B183" s="42" t="s">
        <v>49</v>
      </c>
      <c r="C183" s="105" t="s">
        <v>895</v>
      </c>
      <c r="D183" s="46" t="s">
        <v>896</v>
      </c>
      <c r="E183" s="46"/>
      <c r="F183" s="39" t="s">
        <v>745</v>
      </c>
      <c r="G183" s="46"/>
      <c r="H183" s="46" t="s">
        <v>897</v>
      </c>
      <c r="I183" s="46"/>
      <c r="J183" s="39" t="s">
        <v>77</v>
      </c>
      <c r="K183" s="39" t="s">
        <v>97</v>
      </c>
      <c r="L183" s="39" t="s">
        <v>48</v>
      </c>
      <c r="M183" s="44"/>
      <c r="N183" s="39" t="s">
        <v>39</v>
      </c>
      <c r="O183" s="44"/>
      <c r="P183" s="45" t="s">
        <v>452</v>
      </c>
    </row>
    <row r="184" spans="1:16" ht="15.75" customHeight="1">
      <c r="A184" s="41" t="str">
        <f t="shared" si="0"/>
        <v>L-183</v>
      </c>
      <c r="B184" s="42" t="s">
        <v>49</v>
      </c>
      <c r="C184" s="46" t="s">
        <v>898</v>
      </c>
      <c r="D184" s="46" t="s">
        <v>899</v>
      </c>
      <c r="E184" s="46" t="s">
        <v>535</v>
      </c>
      <c r="F184" s="39" t="s">
        <v>900</v>
      </c>
      <c r="G184" s="57" t="s">
        <v>901</v>
      </c>
      <c r="H184" s="46" t="s">
        <v>902</v>
      </c>
      <c r="I184" s="46" t="s">
        <v>903</v>
      </c>
      <c r="J184" s="39" t="s">
        <v>77</v>
      </c>
      <c r="K184" s="39" t="s">
        <v>94</v>
      </c>
      <c r="L184" s="39" t="s">
        <v>48</v>
      </c>
      <c r="M184" s="44"/>
      <c r="N184" s="39" t="s">
        <v>39</v>
      </c>
      <c r="O184" s="44"/>
      <c r="P184" s="45" t="s">
        <v>904</v>
      </c>
    </row>
    <row r="185" spans="1:16" ht="15.75" customHeight="1">
      <c r="A185" s="41" t="str">
        <f t="shared" si="0"/>
        <v>L-184</v>
      </c>
      <c r="B185" s="42" t="s">
        <v>49</v>
      </c>
      <c r="C185" s="46" t="s">
        <v>905</v>
      </c>
      <c r="D185" s="46" t="s">
        <v>906</v>
      </c>
      <c r="E185" s="46" t="s">
        <v>554</v>
      </c>
      <c r="F185" s="39" t="s">
        <v>900</v>
      </c>
      <c r="G185" s="55" t="s">
        <v>907</v>
      </c>
      <c r="H185" s="46" t="s">
        <v>908</v>
      </c>
      <c r="I185" s="106" t="s">
        <v>909</v>
      </c>
      <c r="J185" s="39" t="s">
        <v>77</v>
      </c>
      <c r="K185" s="39" t="s">
        <v>94</v>
      </c>
      <c r="L185" s="39" t="s">
        <v>48</v>
      </c>
      <c r="M185" s="44"/>
      <c r="N185" s="39" t="s">
        <v>39</v>
      </c>
      <c r="O185" s="44"/>
      <c r="P185" s="45" t="s">
        <v>910</v>
      </c>
    </row>
    <row r="186" spans="1:16" ht="15.75" customHeight="1">
      <c r="A186" s="41" t="str">
        <f t="shared" si="0"/>
        <v>L-185</v>
      </c>
      <c r="B186" s="42" t="s">
        <v>49</v>
      </c>
      <c r="C186" s="84" t="s">
        <v>911</v>
      </c>
      <c r="D186" s="46" t="s">
        <v>912</v>
      </c>
      <c r="E186" s="46" t="s">
        <v>554</v>
      </c>
      <c r="F186" s="39" t="s">
        <v>900</v>
      </c>
      <c r="G186" s="55" t="s">
        <v>913</v>
      </c>
      <c r="H186" s="46" t="s">
        <v>914</v>
      </c>
      <c r="I186" s="55" t="s">
        <v>915</v>
      </c>
      <c r="J186" s="39" t="s">
        <v>77</v>
      </c>
      <c r="K186" s="39" t="s">
        <v>37</v>
      </c>
      <c r="L186" s="39" t="s">
        <v>38</v>
      </c>
      <c r="M186" s="44"/>
      <c r="N186" s="39" t="s">
        <v>39</v>
      </c>
      <c r="O186" s="44"/>
      <c r="P186" s="45" t="s">
        <v>910</v>
      </c>
    </row>
    <row r="187" spans="1:16" ht="15.75" customHeight="1">
      <c r="A187" s="41" t="str">
        <f t="shared" si="0"/>
        <v>L-186</v>
      </c>
      <c r="B187" s="42" t="s">
        <v>49</v>
      </c>
      <c r="C187" s="55" t="s">
        <v>916</v>
      </c>
      <c r="D187" s="46" t="s">
        <v>917</v>
      </c>
      <c r="E187" s="46" t="s">
        <v>554</v>
      </c>
      <c r="F187" s="39" t="s">
        <v>900</v>
      </c>
      <c r="G187" s="46"/>
      <c r="H187" s="46" t="s">
        <v>918</v>
      </c>
      <c r="I187" s="46"/>
      <c r="J187" s="39" t="s">
        <v>77</v>
      </c>
      <c r="K187" s="39" t="s">
        <v>97</v>
      </c>
      <c r="L187" s="39" t="s">
        <v>48</v>
      </c>
      <c r="M187" s="44"/>
      <c r="N187" s="39" t="s">
        <v>39</v>
      </c>
      <c r="O187" s="44"/>
      <c r="P187" s="45" t="s">
        <v>919</v>
      </c>
    </row>
    <row r="188" spans="1:16" ht="15.75" customHeight="1">
      <c r="A188" s="41" t="str">
        <f t="shared" si="0"/>
        <v>L-187</v>
      </c>
      <c r="B188" s="42" t="s">
        <v>49</v>
      </c>
      <c r="C188" s="46" t="s">
        <v>920</v>
      </c>
      <c r="D188" s="46" t="s">
        <v>920</v>
      </c>
      <c r="E188" s="46" t="s">
        <v>535</v>
      </c>
      <c r="F188" s="39" t="s">
        <v>900</v>
      </c>
      <c r="G188" s="57" t="s">
        <v>921</v>
      </c>
      <c r="H188" s="46" t="s">
        <v>922</v>
      </c>
      <c r="I188" s="107" t="s">
        <v>923</v>
      </c>
      <c r="J188" s="39" t="s">
        <v>77</v>
      </c>
      <c r="K188" s="39" t="s">
        <v>94</v>
      </c>
      <c r="L188" s="39" t="s">
        <v>48</v>
      </c>
      <c r="M188" s="44"/>
      <c r="N188" s="39" t="s">
        <v>39</v>
      </c>
      <c r="O188" s="44"/>
      <c r="P188" s="45" t="s">
        <v>910</v>
      </c>
    </row>
    <row r="189" spans="1:16" ht="15.75" customHeight="1">
      <c r="A189" s="41" t="str">
        <f t="shared" si="0"/>
        <v>L-188</v>
      </c>
      <c r="B189" s="42" t="s">
        <v>49</v>
      </c>
      <c r="C189" s="46" t="s">
        <v>924</v>
      </c>
      <c r="D189" s="46" t="s">
        <v>924</v>
      </c>
      <c r="E189" s="46" t="s">
        <v>535</v>
      </c>
      <c r="F189" s="39" t="s">
        <v>900</v>
      </c>
      <c r="G189" s="55" t="s">
        <v>925</v>
      </c>
      <c r="H189" s="46" t="s">
        <v>926</v>
      </c>
      <c r="I189" s="55" t="s">
        <v>927</v>
      </c>
      <c r="J189" s="39" t="s">
        <v>77</v>
      </c>
      <c r="K189" s="39" t="s">
        <v>37</v>
      </c>
      <c r="L189" s="39" t="s">
        <v>48</v>
      </c>
      <c r="M189" s="44"/>
      <c r="N189" s="39" t="s">
        <v>39</v>
      </c>
      <c r="O189" s="44"/>
      <c r="P189" s="45" t="s">
        <v>928</v>
      </c>
    </row>
    <row r="190" spans="1:16" ht="15.75" customHeight="1">
      <c r="A190" s="41" t="str">
        <f t="shared" si="0"/>
        <v>L-189</v>
      </c>
      <c r="B190" s="42" t="s">
        <v>49</v>
      </c>
      <c r="C190" s="46" t="s">
        <v>929</v>
      </c>
      <c r="D190" s="46" t="s">
        <v>929</v>
      </c>
      <c r="E190" s="46"/>
      <c r="F190" s="39" t="s">
        <v>930</v>
      </c>
      <c r="G190" s="57" t="s">
        <v>931</v>
      </c>
      <c r="H190" s="46" t="s">
        <v>932</v>
      </c>
      <c r="I190" s="108" t="s">
        <v>933</v>
      </c>
      <c r="J190" s="39" t="s">
        <v>77</v>
      </c>
      <c r="K190" s="39" t="s">
        <v>279</v>
      </c>
      <c r="L190" s="39" t="s">
        <v>38</v>
      </c>
      <c r="M190" s="44"/>
      <c r="N190" s="39" t="s">
        <v>39</v>
      </c>
      <c r="O190" s="44"/>
      <c r="P190" s="45" t="s">
        <v>934</v>
      </c>
    </row>
    <row r="191" spans="1:16" ht="15.75" customHeight="1">
      <c r="A191" s="41" t="str">
        <f t="shared" si="0"/>
        <v>L-190</v>
      </c>
      <c r="B191" s="42" t="s">
        <v>49</v>
      </c>
      <c r="C191" s="46" t="s">
        <v>935</v>
      </c>
      <c r="D191" s="46" t="s">
        <v>935</v>
      </c>
      <c r="E191" s="46" t="s">
        <v>535</v>
      </c>
      <c r="F191" s="39" t="s">
        <v>900</v>
      </c>
      <c r="G191" s="46"/>
      <c r="H191" s="46" t="s">
        <v>936</v>
      </c>
      <c r="I191" s="46"/>
      <c r="J191" s="39" t="s">
        <v>77</v>
      </c>
      <c r="K191" s="39" t="s">
        <v>97</v>
      </c>
      <c r="L191" s="39" t="s">
        <v>48</v>
      </c>
      <c r="M191" s="44"/>
      <c r="N191" s="39" t="s">
        <v>39</v>
      </c>
      <c r="O191" s="44"/>
      <c r="P191" s="45" t="s">
        <v>919</v>
      </c>
    </row>
    <row r="192" spans="1:16" ht="15.75" customHeight="1">
      <c r="A192" s="41" t="str">
        <f t="shared" si="0"/>
        <v>L-191</v>
      </c>
      <c r="B192" s="42" t="s">
        <v>49</v>
      </c>
      <c r="C192" s="46" t="s">
        <v>937</v>
      </c>
      <c r="D192" s="46" t="s">
        <v>938</v>
      </c>
      <c r="E192" s="46" t="s">
        <v>535</v>
      </c>
      <c r="F192" s="39" t="s">
        <v>900</v>
      </c>
      <c r="G192" s="57" t="s">
        <v>939</v>
      </c>
      <c r="H192" s="46" t="s">
        <v>940</v>
      </c>
      <c r="I192" s="109" t="s">
        <v>941</v>
      </c>
      <c r="J192" s="39" t="s">
        <v>77</v>
      </c>
      <c r="K192" s="39" t="s">
        <v>94</v>
      </c>
      <c r="L192" s="39" t="s">
        <v>38</v>
      </c>
      <c r="M192" s="44"/>
      <c r="N192" s="39" t="s">
        <v>39</v>
      </c>
      <c r="O192" s="44"/>
      <c r="P192" s="45"/>
    </row>
    <row r="193" spans="1:16" ht="15.75" customHeight="1">
      <c r="A193" s="41" t="str">
        <f t="shared" si="0"/>
        <v>L-192</v>
      </c>
      <c r="B193" s="42" t="s">
        <v>49</v>
      </c>
      <c r="C193" s="46" t="s">
        <v>942</v>
      </c>
      <c r="D193" s="46" t="s">
        <v>942</v>
      </c>
      <c r="E193" s="46"/>
      <c r="F193" s="39" t="s">
        <v>900</v>
      </c>
      <c r="G193" s="48" t="s">
        <v>943</v>
      </c>
      <c r="H193" s="46" t="s">
        <v>944</v>
      </c>
      <c r="I193" s="110" t="s">
        <v>945</v>
      </c>
      <c r="J193" s="39" t="s">
        <v>77</v>
      </c>
      <c r="K193" s="39" t="s">
        <v>47</v>
      </c>
      <c r="L193" s="39" t="s">
        <v>48</v>
      </c>
      <c r="M193" s="44"/>
      <c r="N193" s="39" t="s">
        <v>39</v>
      </c>
      <c r="O193" s="44"/>
      <c r="P193" s="45" t="s">
        <v>946</v>
      </c>
    </row>
    <row r="194" spans="1:16" ht="15.75" customHeight="1">
      <c r="A194" s="41" t="str">
        <f t="shared" si="0"/>
        <v>L-193</v>
      </c>
      <c r="B194" s="42" t="s">
        <v>49</v>
      </c>
      <c r="C194" s="46" t="s">
        <v>947</v>
      </c>
      <c r="D194" s="46" t="s">
        <v>948</v>
      </c>
      <c r="E194" s="46" t="s">
        <v>535</v>
      </c>
      <c r="F194" s="39" t="s">
        <v>900</v>
      </c>
      <c r="G194" s="57" t="s">
        <v>949</v>
      </c>
      <c r="H194" s="46" t="s">
        <v>950</v>
      </c>
      <c r="I194" s="111" t="s">
        <v>951</v>
      </c>
      <c r="J194" s="39" t="s">
        <v>77</v>
      </c>
      <c r="K194" s="39" t="s">
        <v>47</v>
      </c>
      <c r="L194" s="39" t="s">
        <v>48</v>
      </c>
      <c r="M194" s="44"/>
      <c r="N194" s="39" t="s">
        <v>39</v>
      </c>
      <c r="O194" s="44"/>
      <c r="P194" s="45" t="s">
        <v>946</v>
      </c>
    </row>
    <row r="195" spans="1:16" ht="15.75" customHeight="1">
      <c r="A195" s="41" t="str">
        <f t="shared" si="0"/>
        <v>L-194</v>
      </c>
      <c r="B195" s="42" t="s">
        <v>49</v>
      </c>
      <c r="C195" s="46" t="s">
        <v>952</v>
      </c>
      <c r="D195" s="46" t="s">
        <v>953</v>
      </c>
      <c r="E195" s="46" t="s">
        <v>535</v>
      </c>
      <c r="F195" s="39" t="s">
        <v>900</v>
      </c>
      <c r="G195" s="55" t="s">
        <v>954</v>
      </c>
      <c r="H195" s="46" t="s">
        <v>955</v>
      </c>
      <c r="I195" s="55" t="s">
        <v>956</v>
      </c>
      <c r="J195" s="39" t="s">
        <v>77</v>
      </c>
      <c r="K195" s="39" t="s">
        <v>47</v>
      </c>
      <c r="L195" s="39" t="s">
        <v>48</v>
      </c>
      <c r="M195" s="44"/>
      <c r="N195" s="39" t="s">
        <v>39</v>
      </c>
      <c r="O195" s="44"/>
      <c r="P195" s="45" t="s">
        <v>946</v>
      </c>
    </row>
    <row r="196" spans="1:16" ht="15.75" customHeight="1">
      <c r="A196" s="41" t="str">
        <f t="shared" si="0"/>
        <v>L-195</v>
      </c>
      <c r="B196" s="42" t="s">
        <v>49</v>
      </c>
      <c r="C196" s="46" t="s">
        <v>957</v>
      </c>
      <c r="D196" s="112" t="s">
        <v>958</v>
      </c>
      <c r="E196" s="46" t="s">
        <v>535</v>
      </c>
      <c r="F196" s="39" t="s">
        <v>900</v>
      </c>
      <c r="G196" s="48" t="s">
        <v>959</v>
      </c>
      <c r="H196" s="46" t="s">
        <v>960</v>
      </c>
      <c r="I196" s="55" t="s">
        <v>961</v>
      </c>
      <c r="J196" s="39" t="s">
        <v>77</v>
      </c>
      <c r="K196" s="39" t="s">
        <v>47</v>
      </c>
      <c r="L196" s="39" t="s">
        <v>48</v>
      </c>
      <c r="M196" s="44"/>
      <c r="N196" s="39" t="s">
        <v>39</v>
      </c>
      <c r="O196" s="44"/>
      <c r="P196" s="45" t="s">
        <v>946</v>
      </c>
    </row>
    <row r="197" spans="1:16" ht="15.75" customHeight="1">
      <c r="A197" s="41" t="str">
        <f t="shared" si="0"/>
        <v>L-196</v>
      </c>
      <c r="B197" s="42" t="s">
        <v>49</v>
      </c>
      <c r="C197" s="46" t="s">
        <v>962</v>
      </c>
      <c r="D197" s="46" t="s">
        <v>963</v>
      </c>
      <c r="E197" s="46" t="s">
        <v>535</v>
      </c>
      <c r="F197" s="39" t="s">
        <v>900</v>
      </c>
      <c r="G197" s="46"/>
      <c r="H197" s="46" t="s">
        <v>964</v>
      </c>
      <c r="I197" s="46"/>
      <c r="J197" s="39" t="s">
        <v>77</v>
      </c>
      <c r="K197" s="39" t="s">
        <v>97</v>
      </c>
      <c r="L197" s="39" t="s">
        <v>48</v>
      </c>
      <c r="M197" s="44"/>
      <c r="N197" s="39" t="s">
        <v>39</v>
      </c>
      <c r="O197" s="44"/>
      <c r="P197" s="45" t="s">
        <v>919</v>
      </c>
    </row>
    <row r="198" spans="1:16" ht="15.75" customHeight="1">
      <c r="A198" s="41" t="str">
        <f t="shared" si="0"/>
        <v>L-197</v>
      </c>
      <c r="B198" s="42" t="s">
        <v>49</v>
      </c>
      <c r="C198" s="46" t="s">
        <v>965</v>
      </c>
      <c r="D198" s="46" t="s">
        <v>965</v>
      </c>
      <c r="E198" s="46" t="s">
        <v>535</v>
      </c>
      <c r="F198" s="39" t="s">
        <v>900</v>
      </c>
      <c r="G198" s="48" t="s">
        <v>966</v>
      </c>
      <c r="H198" s="46" t="s">
        <v>967</v>
      </c>
      <c r="I198" s="46" t="s">
        <v>968</v>
      </c>
      <c r="J198" s="39" t="s">
        <v>77</v>
      </c>
      <c r="K198" s="39" t="s">
        <v>47</v>
      </c>
      <c r="L198" s="39" t="s">
        <v>48</v>
      </c>
      <c r="M198" s="44"/>
      <c r="N198" s="39" t="s">
        <v>39</v>
      </c>
      <c r="O198" s="44"/>
      <c r="P198" s="45" t="s">
        <v>946</v>
      </c>
    </row>
    <row r="199" spans="1:16" ht="15.75" customHeight="1">
      <c r="A199" s="41" t="str">
        <f t="shared" si="0"/>
        <v>L-198</v>
      </c>
      <c r="B199" s="42" t="s">
        <v>49</v>
      </c>
      <c r="C199" s="46" t="s">
        <v>969</v>
      </c>
      <c r="D199" s="46" t="s">
        <v>969</v>
      </c>
      <c r="E199" s="46" t="s">
        <v>535</v>
      </c>
      <c r="F199" s="39" t="s">
        <v>900</v>
      </c>
      <c r="G199" s="48" t="s">
        <v>970</v>
      </c>
      <c r="H199" s="46" t="s">
        <v>971</v>
      </c>
      <c r="I199" s="113" t="s">
        <v>972</v>
      </c>
      <c r="J199" s="39" t="s">
        <v>77</v>
      </c>
      <c r="K199" s="39" t="s">
        <v>37</v>
      </c>
      <c r="L199" s="39" t="s">
        <v>38</v>
      </c>
      <c r="M199" s="44"/>
      <c r="N199" s="39" t="s">
        <v>39</v>
      </c>
      <c r="O199" s="44"/>
      <c r="P199" s="45" t="s">
        <v>946</v>
      </c>
    </row>
    <row r="200" spans="1:16" ht="15.75" customHeight="1">
      <c r="A200" s="41" t="str">
        <f t="shared" si="0"/>
        <v>L-199</v>
      </c>
      <c r="B200" s="42" t="s">
        <v>49</v>
      </c>
      <c r="C200" s="46" t="s">
        <v>973</v>
      </c>
      <c r="D200" s="46" t="s">
        <v>974</v>
      </c>
      <c r="E200" s="46" t="s">
        <v>535</v>
      </c>
      <c r="F200" s="39" t="s">
        <v>900</v>
      </c>
      <c r="G200" s="55" t="s">
        <v>975</v>
      </c>
      <c r="H200" s="46" t="s">
        <v>976</v>
      </c>
      <c r="I200" s="114" t="s">
        <v>977</v>
      </c>
      <c r="J200" s="39" t="s">
        <v>77</v>
      </c>
      <c r="K200" s="39" t="s">
        <v>47</v>
      </c>
      <c r="L200" s="39" t="s">
        <v>48</v>
      </c>
      <c r="M200" s="44"/>
      <c r="N200" s="39" t="s">
        <v>39</v>
      </c>
      <c r="O200" s="44"/>
      <c r="P200" s="45" t="s">
        <v>946</v>
      </c>
    </row>
    <row r="201" spans="1:16" ht="15.75" customHeight="1">
      <c r="A201" s="41" t="str">
        <f t="shared" si="0"/>
        <v>L-200</v>
      </c>
      <c r="B201" s="42" t="s">
        <v>49</v>
      </c>
      <c r="C201" s="46" t="s">
        <v>978</v>
      </c>
      <c r="D201" s="46" t="s">
        <v>979</v>
      </c>
      <c r="E201" s="46" t="s">
        <v>535</v>
      </c>
      <c r="F201" s="39" t="s">
        <v>900</v>
      </c>
      <c r="G201" s="46"/>
      <c r="H201" s="46" t="s">
        <v>980</v>
      </c>
      <c r="I201" s="46"/>
      <c r="J201" s="39" t="s">
        <v>77</v>
      </c>
      <c r="K201" s="39" t="s">
        <v>97</v>
      </c>
      <c r="L201" s="39" t="s">
        <v>48</v>
      </c>
      <c r="M201" s="44"/>
      <c r="N201" s="39" t="s">
        <v>39</v>
      </c>
      <c r="O201" s="44"/>
      <c r="P201" s="45" t="s">
        <v>919</v>
      </c>
    </row>
    <row r="202" spans="1:16" ht="15.75" customHeight="1">
      <c r="A202" s="41" t="str">
        <f t="shared" si="0"/>
        <v>L-201</v>
      </c>
      <c r="B202" s="42" t="s">
        <v>49</v>
      </c>
      <c r="C202" s="46" t="s">
        <v>981</v>
      </c>
      <c r="D202" s="46" t="s">
        <v>982</v>
      </c>
      <c r="E202" s="46" t="s">
        <v>535</v>
      </c>
      <c r="F202" s="39" t="s">
        <v>900</v>
      </c>
      <c r="G202" s="48" t="s">
        <v>983</v>
      </c>
      <c r="H202" s="46" t="s">
        <v>984</v>
      </c>
      <c r="I202" s="115" t="s">
        <v>985</v>
      </c>
      <c r="J202" s="39" t="s">
        <v>77</v>
      </c>
      <c r="K202" s="39" t="s">
        <v>37</v>
      </c>
      <c r="L202" s="39" t="s">
        <v>48</v>
      </c>
      <c r="M202" s="44"/>
      <c r="N202" s="39" t="s">
        <v>39</v>
      </c>
      <c r="O202" s="44"/>
      <c r="P202" s="45" t="s">
        <v>946</v>
      </c>
    </row>
    <row r="203" spans="1:16" ht="15.75" customHeight="1">
      <c r="A203" s="41" t="str">
        <f t="shared" si="0"/>
        <v>L-202</v>
      </c>
      <c r="B203" s="42" t="s">
        <v>49</v>
      </c>
      <c r="C203" s="55" t="s">
        <v>986</v>
      </c>
      <c r="D203" s="55" t="s">
        <v>986</v>
      </c>
      <c r="E203" s="46"/>
      <c r="F203" s="39" t="s">
        <v>900</v>
      </c>
      <c r="G203" s="46"/>
      <c r="H203" s="46" t="s">
        <v>987</v>
      </c>
      <c r="I203" s="46"/>
      <c r="J203" s="39" t="s">
        <v>77</v>
      </c>
      <c r="K203" s="39" t="s">
        <v>97</v>
      </c>
      <c r="L203" s="39" t="s">
        <v>48</v>
      </c>
      <c r="M203" s="44"/>
      <c r="N203" s="39" t="s">
        <v>39</v>
      </c>
      <c r="O203" s="44"/>
      <c r="P203" s="45" t="s">
        <v>919</v>
      </c>
    </row>
    <row r="204" spans="1:16" ht="15.75" customHeight="1">
      <c r="A204" s="41" t="str">
        <f t="shared" si="0"/>
        <v>L-203</v>
      </c>
      <c r="B204" s="42" t="s">
        <v>49</v>
      </c>
      <c r="C204" s="46" t="s">
        <v>988</v>
      </c>
      <c r="D204" s="46" t="s">
        <v>989</v>
      </c>
      <c r="E204" s="46" t="s">
        <v>535</v>
      </c>
      <c r="F204" s="39" t="s">
        <v>900</v>
      </c>
      <c r="G204" s="48" t="s">
        <v>990</v>
      </c>
      <c r="H204" s="46"/>
      <c r="I204" s="116" t="s">
        <v>991</v>
      </c>
      <c r="J204" s="39" t="s">
        <v>77</v>
      </c>
      <c r="K204" s="39" t="s">
        <v>37</v>
      </c>
      <c r="L204" s="39" t="s">
        <v>48</v>
      </c>
      <c r="M204" s="44"/>
      <c r="N204" s="39" t="s">
        <v>39</v>
      </c>
      <c r="O204" s="44"/>
      <c r="P204" s="45" t="s">
        <v>992</v>
      </c>
    </row>
    <row r="205" spans="1:16" ht="15.75" customHeight="1">
      <c r="A205" s="41" t="str">
        <f t="shared" si="0"/>
        <v>L-204</v>
      </c>
      <c r="B205" s="42" t="s">
        <v>49</v>
      </c>
      <c r="C205" s="46" t="s">
        <v>993</v>
      </c>
      <c r="D205" s="46" t="s">
        <v>994</v>
      </c>
      <c r="E205" s="46"/>
      <c r="F205" s="39" t="s">
        <v>900</v>
      </c>
      <c r="G205" s="46"/>
      <c r="H205" s="46" t="s">
        <v>995</v>
      </c>
      <c r="I205" s="46"/>
      <c r="J205" s="39" t="s">
        <v>77</v>
      </c>
      <c r="K205" s="39" t="s">
        <v>97</v>
      </c>
      <c r="L205" s="39" t="s">
        <v>48</v>
      </c>
      <c r="M205" s="44"/>
      <c r="N205" s="39" t="s">
        <v>39</v>
      </c>
      <c r="O205" s="44"/>
      <c r="P205" s="45" t="s">
        <v>919</v>
      </c>
    </row>
    <row r="206" spans="1:16" ht="15.75" customHeight="1">
      <c r="A206" s="41" t="str">
        <f t="shared" si="0"/>
        <v>L-205</v>
      </c>
      <c r="B206" s="42" t="s">
        <v>49</v>
      </c>
      <c r="C206" s="46" t="s">
        <v>996</v>
      </c>
      <c r="D206" s="46" t="s">
        <v>997</v>
      </c>
      <c r="E206" s="46"/>
      <c r="F206" s="39" t="s">
        <v>900</v>
      </c>
      <c r="G206" s="46"/>
      <c r="H206" s="46" t="s">
        <v>998</v>
      </c>
      <c r="I206" s="46"/>
      <c r="J206" s="39" t="s">
        <v>77</v>
      </c>
      <c r="K206" s="39" t="s">
        <v>97</v>
      </c>
      <c r="L206" s="39" t="s">
        <v>48</v>
      </c>
      <c r="M206" s="44"/>
      <c r="N206" s="39" t="s">
        <v>39</v>
      </c>
      <c r="O206" s="44"/>
      <c r="P206" s="45"/>
    </row>
    <row r="207" spans="1:16" ht="15.75" customHeight="1">
      <c r="A207" s="41" t="str">
        <f t="shared" si="0"/>
        <v>L-206</v>
      </c>
      <c r="B207" s="42" t="s">
        <v>49</v>
      </c>
      <c r="C207" s="46" t="s">
        <v>999</v>
      </c>
      <c r="D207" s="46" t="s">
        <v>1000</v>
      </c>
      <c r="E207" s="46"/>
      <c r="F207" s="39" t="s">
        <v>900</v>
      </c>
      <c r="G207" s="46"/>
      <c r="H207" s="46" t="s">
        <v>1001</v>
      </c>
      <c r="I207" s="46"/>
      <c r="J207" s="39" t="s">
        <v>77</v>
      </c>
      <c r="K207" s="39" t="s">
        <v>97</v>
      </c>
      <c r="L207" s="39" t="s">
        <v>48</v>
      </c>
      <c r="M207" s="44"/>
      <c r="N207" s="39" t="s">
        <v>39</v>
      </c>
      <c r="O207" s="44"/>
      <c r="P207" s="45"/>
    </row>
    <row r="208" spans="1:16" ht="15.75" customHeight="1">
      <c r="A208" s="41" t="str">
        <f t="shared" si="0"/>
        <v>L-207</v>
      </c>
      <c r="B208" s="117" t="s">
        <v>49</v>
      </c>
      <c r="C208" s="118" t="s">
        <v>1002</v>
      </c>
      <c r="D208" s="118" t="s">
        <v>1003</v>
      </c>
      <c r="E208" s="118" t="s">
        <v>535</v>
      </c>
      <c r="F208" s="119" t="s">
        <v>900</v>
      </c>
      <c r="G208" s="120" t="s">
        <v>1004</v>
      </c>
      <c r="H208" s="118" t="s">
        <v>1005</v>
      </c>
      <c r="I208" s="118"/>
      <c r="J208" s="119" t="s">
        <v>77</v>
      </c>
      <c r="K208" s="119" t="s">
        <v>97</v>
      </c>
      <c r="L208" s="119" t="s">
        <v>48</v>
      </c>
      <c r="M208" s="121"/>
      <c r="N208" s="119" t="s">
        <v>39</v>
      </c>
      <c r="O208" s="121"/>
      <c r="P208" s="122" t="s">
        <v>1006</v>
      </c>
    </row>
    <row r="209" spans="1:16" ht="15.75" customHeight="1">
      <c r="A209" s="41" t="str">
        <f t="shared" si="0"/>
        <v>L-208</v>
      </c>
      <c r="B209" s="42" t="s">
        <v>49</v>
      </c>
      <c r="C209" s="46" t="s">
        <v>1007</v>
      </c>
      <c r="D209" s="46" t="s">
        <v>1008</v>
      </c>
      <c r="E209" s="46"/>
      <c r="F209" s="39" t="s">
        <v>900</v>
      </c>
      <c r="G209" s="46"/>
      <c r="H209" s="46" t="s">
        <v>1009</v>
      </c>
      <c r="I209" s="46"/>
      <c r="J209" s="39" t="s">
        <v>77</v>
      </c>
      <c r="K209" s="39" t="s">
        <v>97</v>
      </c>
      <c r="L209" s="39" t="s">
        <v>48</v>
      </c>
      <c r="M209" s="44"/>
      <c r="N209" s="39" t="s">
        <v>39</v>
      </c>
      <c r="O209" s="44"/>
      <c r="P209" s="45"/>
    </row>
    <row r="210" spans="1:16" ht="15.75" customHeight="1">
      <c r="A210" s="41" t="str">
        <f t="shared" si="0"/>
        <v>L-209</v>
      </c>
      <c r="B210" s="42" t="s">
        <v>49</v>
      </c>
      <c r="C210" s="46" t="s">
        <v>1010</v>
      </c>
      <c r="D210" s="46" t="s">
        <v>1011</v>
      </c>
      <c r="E210" s="46" t="s">
        <v>535</v>
      </c>
      <c r="F210" s="39" t="s">
        <v>900</v>
      </c>
      <c r="G210" s="46"/>
      <c r="H210" s="46" t="s">
        <v>1012</v>
      </c>
      <c r="I210" s="46"/>
      <c r="J210" s="39" t="s">
        <v>77</v>
      </c>
      <c r="K210" s="39" t="s">
        <v>97</v>
      </c>
      <c r="L210" s="39" t="s">
        <v>48</v>
      </c>
      <c r="M210" s="44"/>
      <c r="N210" s="39" t="s">
        <v>39</v>
      </c>
      <c r="O210" s="44"/>
      <c r="P210" s="45"/>
    </row>
    <row r="211" spans="1:16" ht="15.75" customHeight="1">
      <c r="A211" s="41" t="str">
        <f t="shared" si="0"/>
        <v>L-210</v>
      </c>
      <c r="B211" s="42" t="s">
        <v>49</v>
      </c>
      <c r="C211" s="46" t="s">
        <v>1013</v>
      </c>
      <c r="D211" s="46" t="s">
        <v>1014</v>
      </c>
      <c r="E211" s="46" t="s">
        <v>535</v>
      </c>
      <c r="F211" s="39" t="s">
        <v>900</v>
      </c>
      <c r="G211" s="46"/>
      <c r="H211" s="46" t="s">
        <v>1015</v>
      </c>
      <c r="I211" s="46"/>
      <c r="J211" s="39" t="s">
        <v>77</v>
      </c>
      <c r="K211" s="39" t="s">
        <v>97</v>
      </c>
      <c r="L211" s="39" t="s">
        <v>48</v>
      </c>
      <c r="M211" s="44"/>
      <c r="N211" s="39" t="s">
        <v>39</v>
      </c>
      <c r="O211" s="44"/>
      <c r="P211" s="45"/>
    </row>
    <row r="212" spans="1:16" ht="15.75" customHeight="1">
      <c r="A212" s="41" t="str">
        <f t="shared" si="0"/>
        <v>L-211</v>
      </c>
      <c r="B212" s="42" t="s">
        <v>49</v>
      </c>
      <c r="C212" s="46" t="s">
        <v>1016</v>
      </c>
      <c r="D212" s="46" t="s">
        <v>1017</v>
      </c>
      <c r="E212" s="46" t="s">
        <v>535</v>
      </c>
      <c r="F212" s="39" t="s">
        <v>900</v>
      </c>
      <c r="G212" s="46"/>
      <c r="H212" s="46" t="s">
        <v>1018</v>
      </c>
      <c r="I212" s="46"/>
      <c r="J212" s="39" t="s">
        <v>77</v>
      </c>
      <c r="K212" s="39" t="s">
        <v>97</v>
      </c>
      <c r="L212" s="39" t="s">
        <v>48</v>
      </c>
      <c r="M212" s="44"/>
      <c r="N212" s="39" t="s">
        <v>39</v>
      </c>
      <c r="O212" s="44"/>
      <c r="P212" s="45"/>
    </row>
    <row r="213" spans="1:16" ht="15.75" customHeight="1">
      <c r="A213" s="41" t="str">
        <f t="shared" si="0"/>
        <v>L-212</v>
      </c>
      <c r="B213" s="42" t="s">
        <v>49</v>
      </c>
      <c r="C213" s="46" t="s">
        <v>1019</v>
      </c>
      <c r="D213" s="46" t="s">
        <v>1020</v>
      </c>
      <c r="E213" s="46" t="s">
        <v>535</v>
      </c>
      <c r="F213" s="39" t="s">
        <v>900</v>
      </c>
      <c r="G213" s="46"/>
      <c r="H213" s="46" t="s">
        <v>1021</v>
      </c>
      <c r="I213" s="46"/>
      <c r="J213" s="39" t="s">
        <v>77</v>
      </c>
      <c r="K213" s="39" t="s">
        <v>97</v>
      </c>
      <c r="L213" s="39" t="s">
        <v>48</v>
      </c>
      <c r="M213" s="44"/>
      <c r="N213" s="39" t="s">
        <v>39</v>
      </c>
      <c r="O213" s="44"/>
      <c r="P213" s="45"/>
    </row>
    <row r="214" spans="1:16" ht="15.75" customHeight="1">
      <c r="A214" s="41" t="str">
        <f t="shared" si="0"/>
        <v>L-213</v>
      </c>
      <c r="B214" s="42" t="s">
        <v>49</v>
      </c>
      <c r="C214" s="123" t="s">
        <v>1022</v>
      </c>
      <c r="D214" s="46" t="s">
        <v>1023</v>
      </c>
      <c r="E214" s="46" t="s">
        <v>535</v>
      </c>
      <c r="F214" s="39" t="s">
        <v>900</v>
      </c>
      <c r="G214" s="46"/>
      <c r="H214" s="46" t="s">
        <v>1024</v>
      </c>
      <c r="I214" s="46"/>
      <c r="J214" s="39" t="s">
        <v>77</v>
      </c>
      <c r="K214" s="39" t="s">
        <v>97</v>
      </c>
      <c r="L214" s="39" t="s">
        <v>48</v>
      </c>
      <c r="M214" s="44"/>
      <c r="N214" s="39" t="s">
        <v>39</v>
      </c>
      <c r="O214" s="44"/>
      <c r="P214" s="45"/>
    </row>
    <row r="215" spans="1:16" ht="15.75" customHeight="1">
      <c r="A215" s="41" t="str">
        <f t="shared" si="0"/>
        <v>L-214</v>
      </c>
      <c r="B215" s="42" t="s">
        <v>49</v>
      </c>
      <c r="C215" s="46" t="s">
        <v>1025</v>
      </c>
      <c r="D215" s="46" t="s">
        <v>1026</v>
      </c>
      <c r="E215" s="46" t="s">
        <v>535</v>
      </c>
      <c r="F215" s="39" t="s">
        <v>900</v>
      </c>
      <c r="G215" s="48" t="s">
        <v>1027</v>
      </c>
      <c r="H215" s="46" t="s">
        <v>1028</v>
      </c>
      <c r="I215" s="50" t="s">
        <v>1029</v>
      </c>
      <c r="J215" s="39" t="s">
        <v>77</v>
      </c>
      <c r="K215" s="39" t="s">
        <v>37</v>
      </c>
      <c r="L215" s="39" t="s">
        <v>38</v>
      </c>
      <c r="M215" s="44"/>
      <c r="N215" s="39" t="s">
        <v>39</v>
      </c>
      <c r="O215" s="44"/>
      <c r="P215" s="45"/>
    </row>
    <row r="216" spans="1:16" ht="15.75" customHeight="1">
      <c r="A216" s="41" t="str">
        <f t="shared" si="0"/>
        <v>L-215</v>
      </c>
      <c r="B216" s="42" t="s">
        <v>49</v>
      </c>
      <c r="C216" s="46" t="s">
        <v>1030</v>
      </c>
      <c r="D216" s="46" t="s">
        <v>1031</v>
      </c>
      <c r="E216" s="46" t="s">
        <v>1032</v>
      </c>
      <c r="F216" s="39" t="s">
        <v>1033</v>
      </c>
      <c r="G216" s="55" t="s">
        <v>1034</v>
      </c>
      <c r="H216" s="46" t="s">
        <v>1035</v>
      </c>
      <c r="I216" s="55" t="s">
        <v>1036</v>
      </c>
      <c r="J216" s="39" t="s">
        <v>77</v>
      </c>
      <c r="K216" s="39" t="s">
        <v>94</v>
      </c>
      <c r="L216" s="39" t="s">
        <v>38</v>
      </c>
      <c r="M216" s="44"/>
      <c r="N216" s="39" t="s">
        <v>39</v>
      </c>
      <c r="O216" s="44"/>
      <c r="P216" s="45" t="s">
        <v>569</v>
      </c>
    </row>
    <row r="217" spans="1:16" ht="15.75" customHeight="1">
      <c r="A217" s="41" t="str">
        <f t="shared" si="0"/>
        <v>L-216</v>
      </c>
      <c r="B217" s="42" t="s">
        <v>49</v>
      </c>
      <c r="C217" s="46" t="s">
        <v>1037</v>
      </c>
      <c r="D217" s="46" t="s">
        <v>1038</v>
      </c>
      <c r="E217" s="46"/>
      <c r="F217" s="39" t="s">
        <v>900</v>
      </c>
      <c r="G217" s="55" t="s">
        <v>1039</v>
      </c>
      <c r="H217" s="46" t="s">
        <v>1040</v>
      </c>
      <c r="I217" s="46"/>
      <c r="J217" s="39" t="s">
        <v>77</v>
      </c>
      <c r="K217" s="39" t="s">
        <v>97</v>
      </c>
      <c r="L217" s="39" t="s">
        <v>48</v>
      </c>
      <c r="M217" s="44"/>
      <c r="N217" s="39" t="s">
        <v>39</v>
      </c>
      <c r="O217" s="44"/>
      <c r="P217" s="45" t="s">
        <v>1041</v>
      </c>
    </row>
    <row r="218" spans="1:16" ht="15.75" customHeight="1">
      <c r="A218" s="41" t="str">
        <f t="shared" si="0"/>
        <v>L-217</v>
      </c>
      <c r="B218" s="42" t="s">
        <v>49</v>
      </c>
      <c r="C218" s="124" t="s">
        <v>1042</v>
      </c>
      <c r="D218" s="124" t="s">
        <v>1043</v>
      </c>
      <c r="E218" s="46"/>
      <c r="F218" s="39" t="s">
        <v>900</v>
      </c>
      <c r="G218" s="46"/>
      <c r="H218" s="46" t="s">
        <v>1044</v>
      </c>
      <c r="I218" s="50"/>
      <c r="J218" s="39" t="s">
        <v>77</v>
      </c>
      <c r="K218" s="39" t="s">
        <v>97</v>
      </c>
      <c r="L218" s="39" t="s">
        <v>48</v>
      </c>
      <c r="M218" s="44"/>
      <c r="N218" s="39" t="s">
        <v>39</v>
      </c>
      <c r="O218" s="44"/>
      <c r="P218" s="45" t="s">
        <v>1041</v>
      </c>
    </row>
    <row r="219" spans="1:16" ht="15.75" customHeight="1">
      <c r="A219" s="41" t="str">
        <f t="shared" si="0"/>
        <v>L-218</v>
      </c>
      <c r="B219" s="42" t="s">
        <v>49</v>
      </c>
      <c r="C219" s="125" t="s">
        <v>1045</v>
      </c>
      <c r="D219" s="125" t="s">
        <v>1046</v>
      </c>
      <c r="E219" s="46"/>
      <c r="F219" s="39" t="s">
        <v>900</v>
      </c>
      <c r="G219" s="46"/>
      <c r="H219" s="46" t="s">
        <v>1047</v>
      </c>
      <c r="I219" s="46"/>
      <c r="J219" s="39" t="s">
        <v>77</v>
      </c>
      <c r="K219" s="39" t="s">
        <v>97</v>
      </c>
      <c r="L219" s="39" t="s">
        <v>48</v>
      </c>
      <c r="M219" s="44"/>
      <c r="N219" s="39" t="s">
        <v>39</v>
      </c>
      <c r="O219" s="44"/>
      <c r="P219" s="45" t="s">
        <v>1041</v>
      </c>
    </row>
    <row r="220" spans="1:16" ht="15.75" customHeight="1">
      <c r="A220" s="41" t="str">
        <f t="shared" si="0"/>
        <v>L-219</v>
      </c>
      <c r="B220" s="42" t="s">
        <v>49</v>
      </c>
      <c r="C220" s="46" t="s">
        <v>1048</v>
      </c>
      <c r="D220" s="46" t="s">
        <v>1048</v>
      </c>
      <c r="E220" s="46"/>
      <c r="F220" s="39" t="s">
        <v>900</v>
      </c>
      <c r="G220" s="46"/>
      <c r="H220" s="46" t="s">
        <v>1049</v>
      </c>
      <c r="I220" s="46"/>
      <c r="J220" s="39" t="s">
        <v>77</v>
      </c>
      <c r="K220" s="39" t="s">
        <v>97</v>
      </c>
      <c r="L220" s="39" t="s">
        <v>48</v>
      </c>
      <c r="M220" s="44"/>
      <c r="N220" s="39" t="s">
        <v>39</v>
      </c>
      <c r="O220" s="44"/>
      <c r="P220" s="45" t="s">
        <v>1041</v>
      </c>
    </row>
    <row r="221" spans="1:16" ht="15.75" customHeight="1">
      <c r="A221" s="41" t="str">
        <f t="shared" si="0"/>
        <v>L-220</v>
      </c>
      <c r="B221" s="42" t="s">
        <v>49</v>
      </c>
      <c r="C221" s="46" t="s">
        <v>1050</v>
      </c>
      <c r="D221" s="46" t="s">
        <v>1051</v>
      </c>
      <c r="E221" s="46" t="s">
        <v>554</v>
      </c>
      <c r="F221" s="39" t="s">
        <v>900</v>
      </c>
      <c r="G221" s="48" t="s">
        <v>1052</v>
      </c>
      <c r="H221" s="46" t="s">
        <v>1053</v>
      </c>
      <c r="I221" s="55" t="s">
        <v>1054</v>
      </c>
      <c r="J221" s="39" t="s">
        <v>77</v>
      </c>
      <c r="K221" s="39" t="s">
        <v>37</v>
      </c>
      <c r="L221" s="39" t="s">
        <v>48</v>
      </c>
      <c r="M221" s="44"/>
      <c r="N221" s="39" t="s">
        <v>39</v>
      </c>
      <c r="O221" s="44"/>
      <c r="P221" s="45" t="s">
        <v>569</v>
      </c>
    </row>
    <row r="222" spans="1:16" ht="15.75" customHeight="1">
      <c r="A222" s="41" t="str">
        <f t="shared" si="0"/>
        <v>L-221</v>
      </c>
      <c r="B222" s="42" t="s">
        <v>49</v>
      </c>
      <c r="C222" s="51" t="s">
        <v>1055</v>
      </c>
      <c r="D222" s="55" t="s">
        <v>1055</v>
      </c>
      <c r="E222" s="46"/>
      <c r="F222" s="39" t="s">
        <v>900</v>
      </c>
      <c r="G222" s="55" t="s">
        <v>1056</v>
      </c>
      <c r="H222" s="46" t="s">
        <v>1057</v>
      </c>
      <c r="I222" s="46"/>
      <c r="J222" s="39" t="s">
        <v>77</v>
      </c>
      <c r="K222" s="39" t="s">
        <v>97</v>
      </c>
      <c r="L222" s="39" t="s">
        <v>48</v>
      </c>
      <c r="M222" s="44"/>
      <c r="N222" s="39" t="s">
        <v>39</v>
      </c>
      <c r="O222" s="44"/>
      <c r="P222" s="45" t="s">
        <v>1058</v>
      </c>
    </row>
    <row r="223" spans="1:16" ht="15.75" customHeight="1">
      <c r="A223" s="41" t="str">
        <f t="shared" si="0"/>
        <v>L-222</v>
      </c>
      <c r="B223" s="42" t="s">
        <v>49</v>
      </c>
      <c r="C223" s="126" t="s">
        <v>1059</v>
      </c>
      <c r="D223" s="126" t="s">
        <v>1059</v>
      </c>
      <c r="E223" s="46"/>
      <c r="F223" s="39" t="s">
        <v>900</v>
      </c>
      <c r="G223" s="46"/>
      <c r="H223" s="46" t="s">
        <v>1060</v>
      </c>
      <c r="I223" s="46"/>
      <c r="J223" s="39" t="s">
        <v>77</v>
      </c>
      <c r="K223" s="39" t="s">
        <v>97</v>
      </c>
      <c r="L223" s="39" t="s">
        <v>48</v>
      </c>
      <c r="M223" s="44"/>
      <c r="N223" s="39" t="s">
        <v>39</v>
      </c>
      <c r="O223" s="44"/>
      <c r="P223" s="45" t="s">
        <v>1041</v>
      </c>
    </row>
    <row r="224" spans="1:16" ht="15.75" customHeight="1">
      <c r="A224" s="41" t="str">
        <f t="shared" si="0"/>
        <v>L-223</v>
      </c>
      <c r="B224" s="42" t="s">
        <v>49</v>
      </c>
      <c r="C224" s="127" t="s">
        <v>1061</v>
      </c>
      <c r="D224" s="127" t="s">
        <v>1062</v>
      </c>
      <c r="E224" s="46" t="s">
        <v>554</v>
      </c>
      <c r="F224" s="39" t="s">
        <v>1063</v>
      </c>
      <c r="G224" s="48" t="s">
        <v>1064</v>
      </c>
      <c r="H224" s="46" t="s">
        <v>1065</v>
      </c>
      <c r="I224" s="46"/>
      <c r="J224" s="39" t="s">
        <v>77</v>
      </c>
      <c r="K224" s="39" t="s">
        <v>37</v>
      </c>
      <c r="L224" s="39" t="s">
        <v>48</v>
      </c>
      <c r="M224" s="44"/>
      <c r="N224" s="39" t="s">
        <v>39</v>
      </c>
      <c r="O224" s="44"/>
      <c r="P224" s="45" t="s">
        <v>1066</v>
      </c>
    </row>
    <row r="225" spans="1:16" ht="15.75" customHeight="1">
      <c r="A225" s="41" t="str">
        <f t="shared" si="0"/>
        <v>L-224</v>
      </c>
      <c r="B225" s="42" t="s">
        <v>49</v>
      </c>
      <c r="C225" s="51" t="s">
        <v>1067</v>
      </c>
      <c r="D225" s="46" t="s">
        <v>1068</v>
      </c>
      <c r="E225" s="46"/>
      <c r="F225" s="39" t="s">
        <v>1069</v>
      </c>
      <c r="G225" s="55" t="s">
        <v>1070</v>
      </c>
      <c r="H225" s="46" t="s">
        <v>1071</v>
      </c>
      <c r="I225" s="46"/>
      <c r="J225" s="39" t="s">
        <v>77</v>
      </c>
      <c r="K225" s="39" t="s">
        <v>97</v>
      </c>
      <c r="L225" s="39" t="s">
        <v>48</v>
      </c>
      <c r="M225" s="44"/>
      <c r="N225" s="39" t="s">
        <v>39</v>
      </c>
      <c r="O225" s="44"/>
      <c r="P225" s="45" t="s">
        <v>1072</v>
      </c>
    </row>
    <row r="226" spans="1:16" ht="15.75" customHeight="1">
      <c r="A226" s="41" t="str">
        <f t="shared" si="0"/>
        <v>L-225</v>
      </c>
      <c r="B226" s="42" t="s">
        <v>49</v>
      </c>
      <c r="C226" s="46" t="s">
        <v>1073</v>
      </c>
      <c r="D226" s="46" t="s">
        <v>1074</v>
      </c>
      <c r="E226" s="46" t="s">
        <v>554</v>
      </c>
      <c r="F226" s="39" t="s">
        <v>1069</v>
      </c>
      <c r="G226" s="55" t="s">
        <v>1075</v>
      </c>
      <c r="H226" s="46" t="s">
        <v>1076</v>
      </c>
      <c r="I226" s="128" t="s">
        <v>1077</v>
      </c>
      <c r="J226" s="39" t="s">
        <v>77</v>
      </c>
      <c r="K226" s="39" t="s">
        <v>94</v>
      </c>
      <c r="L226" s="39" t="s">
        <v>48</v>
      </c>
      <c r="M226" s="44"/>
      <c r="N226" s="39" t="s">
        <v>39</v>
      </c>
      <c r="O226" s="44"/>
      <c r="P226" s="45" t="s">
        <v>1078</v>
      </c>
    </row>
    <row r="227" spans="1:16" ht="15.75" customHeight="1">
      <c r="A227" s="41" t="str">
        <f t="shared" si="0"/>
        <v>L-226</v>
      </c>
      <c r="B227" s="42" t="s">
        <v>49</v>
      </c>
      <c r="C227" s="51" t="s">
        <v>1079</v>
      </c>
      <c r="D227" s="46" t="s">
        <v>1080</v>
      </c>
      <c r="E227" s="46" t="s">
        <v>554</v>
      </c>
      <c r="F227" s="39" t="s">
        <v>1069</v>
      </c>
      <c r="G227" s="48" t="s">
        <v>1081</v>
      </c>
      <c r="H227" s="46" t="s">
        <v>1082</v>
      </c>
      <c r="I227" s="55" t="s">
        <v>1083</v>
      </c>
      <c r="J227" s="39" t="s">
        <v>77</v>
      </c>
      <c r="K227" s="39" t="s">
        <v>279</v>
      </c>
      <c r="L227" s="39" t="s">
        <v>83</v>
      </c>
      <c r="M227" s="44"/>
      <c r="N227" s="39" t="s">
        <v>39</v>
      </c>
      <c r="O227" s="44"/>
      <c r="P227" s="45"/>
    </row>
    <row r="228" spans="1:16" ht="15.75" customHeight="1">
      <c r="A228" s="41" t="str">
        <f t="shared" si="0"/>
        <v>L-227</v>
      </c>
      <c r="B228" s="42" t="s">
        <v>49</v>
      </c>
      <c r="C228" s="46" t="s">
        <v>1084</v>
      </c>
      <c r="D228" s="46"/>
      <c r="E228" s="46"/>
      <c r="F228" s="39" t="s">
        <v>1069</v>
      </c>
      <c r="G228" s="48" t="s">
        <v>1085</v>
      </c>
      <c r="H228" s="46" t="s">
        <v>1086</v>
      </c>
      <c r="I228" s="49" t="s">
        <v>1087</v>
      </c>
      <c r="J228" s="39" t="s">
        <v>77</v>
      </c>
      <c r="K228" s="39" t="s">
        <v>37</v>
      </c>
      <c r="L228" s="39" t="s">
        <v>48</v>
      </c>
      <c r="M228" s="44"/>
      <c r="N228" s="39" t="s">
        <v>39</v>
      </c>
      <c r="O228" s="44"/>
      <c r="P228" s="45" t="s">
        <v>1088</v>
      </c>
    </row>
    <row r="229" spans="1:16" ht="15.75" customHeight="1">
      <c r="A229" s="41" t="str">
        <f t="shared" si="0"/>
        <v>L-228</v>
      </c>
      <c r="B229" s="42" t="s">
        <v>49</v>
      </c>
      <c r="C229" s="46" t="s">
        <v>1089</v>
      </c>
      <c r="D229" s="46" t="s">
        <v>1090</v>
      </c>
      <c r="E229" s="46" t="s">
        <v>554</v>
      </c>
      <c r="F229" s="39" t="s">
        <v>1069</v>
      </c>
      <c r="G229" s="48" t="s">
        <v>1091</v>
      </c>
      <c r="H229" s="46" t="s">
        <v>1092</v>
      </c>
      <c r="I229" s="129" t="s">
        <v>1093</v>
      </c>
      <c r="J229" s="39" t="s">
        <v>77</v>
      </c>
      <c r="K229" s="39" t="s">
        <v>37</v>
      </c>
      <c r="L229" s="39" t="s">
        <v>48</v>
      </c>
      <c r="M229" s="44"/>
      <c r="N229" s="39" t="s">
        <v>39</v>
      </c>
      <c r="O229" s="44"/>
      <c r="P229" s="45" t="s">
        <v>1094</v>
      </c>
    </row>
    <row r="230" spans="1:16" ht="15.75" customHeight="1">
      <c r="A230" s="41" t="str">
        <f t="shared" si="0"/>
        <v>L-229</v>
      </c>
      <c r="B230" s="42" t="s">
        <v>49</v>
      </c>
      <c r="C230" s="46" t="s">
        <v>1095</v>
      </c>
      <c r="D230" s="130" t="s">
        <v>1096</v>
      </c>
      <c r="E230" s="46" t="s">
        <v>554</v>
      </c>
      <c r="F230" s="39" t="s">
        <v>1069</v>
      </c>
      <c r="G230" s="48" t="s">
        <v>1097</v>
      </c>
      <c r="H230" s="46" t="s">
        <v>1098</v>
      </c>
      <c r="I230" s="130" t="s">
        <v>1099</v>
      </c>
      <c r="J230" s="39" t="s">
        <v>77</v>
      </c>
      <c r="K230" s="39" t="s">
        <v>37</v>
      </c>
      <c r="L230" s="39" t="s">
        <v>48</v>
      </c>
      <c r="M230" s="44"/>
      <c r="N230" s="39" t="s">
        <v>39</v>
      </c>
      <c r="O230" s="44"/>
      <c r="P230" s="45" t="s">
        <v>788</v>
      </c>
    </row>
    <row r="231" spans="1:16" ht="15.75" customHeight="1">
      <c r="A231" s="41" t="str">
        <f t="shared" si="0"/>
        <v>L-230</v>
      </c>
      <c r="B231" s="42" t="s">
        <v>49</v>
      </c>
      <c r="C231" s="46" t="s">
        <v>1100</v>
      </c>
      <c r="D231" s="46" t="s">
        <v>1101</v>
      </c>
      <c r="E231" s="46" t="s">
        <v>554</v>
      </c>
      <c r="F231" s="39" t="s">
        <v>1069</v>
      </c>
      <c r="G231" s="48" t="s">
        <v>1102</v>
      </c>
      <c r="H231" s="46" t="s">
        <v>1103</v>
      </c>
      <c r="I231" s="50" t="s">
        <v>1104</v>
      </c>
      <c r="J231" s="39" t="s">
        <v>77</v>
      </c>
      <c r="K231" s="39" t="s">
        <v>37</v>
      </c>
      <c r="L231" s="39" t="s">
        <v>48</v>
      </c>
      <c r="M231" s="44"/>
      <c r="N231" s="39" t="s">
        <v>39</v>
      </c>
      <c r="O231" s="44"/>
      <c r="P231" s="45" t="s">
        <v>1105</v>
      </c>
    </row>
    <row r="232" spans="1:16" ht="15.75" customHeight="1">
      <c r="A232" s="41" t="str">
        <f t="shared" si="0"/>
        <v>L-231</v>
      </c>
      <c r="B232" s="42" t="s">
        <v>49</v>
      </c>
      <c r="C232" s="55" t="s">
        <v>1106</v>
      </c>
      <c r="D232" s="131" t="s">
        <v>1106</v>
      </c>
      <c r="E232" s="46" t="s">
        <v>554</v>
      </c>
      <c r="F232" s="39" t="s">
        <v>1069</v>
      </c>
      <c r="G232" s="48" t="s">
        <v>1107</v>
      </c>
      <c r="H232" s="46" t="s">
        <v>1108</v>
      </c>
      <c r="I232" s="131" t="s">
        <v>1109</v>
      </c>
      <c r="J232" s="39" t="s">
        <v>77</v>
      </c>
      <c r="K232" s="39" t="s">
        <v>94</v>
      </c>
      <c r="L232" s="39" t="s">
        <v>48</v>
      </c>
      <c r="M232" s="44"/>
      <c r="N232" s="39" t="s">
        <v>39</v>
      </c>
      <c r="O232" s="44"/>
      <c r="P232" s="45" t="s">
        <v>1110</v>
      </c>
    </row>
    <row r="233" spans="1:16" ht="15.75" customHeight="1">
      <c r="A233" s="41" t="str">
        <f t="shared" si="0"/>
        <v>L-232</v>
      </c>
      <c r="B233" s="42" t="s">
        <v>49</v>
      </c>
      <c r="C233" s="55" t="s">
        <v>1111</v>
      </c>
      <c r="D233" s="46" t="s">
        <v>1112</v>
      </c>
      <c r="E233" s="46" t="s">
        <v>554</v>
      </c>
      <c r="F233" s="39" t="s">
        <v>1069</v>
      </c>
      <c r="G233" s="48" t="s">
        <v>1113</v>
      </c>
      <c r="H233" s="46" t="s">
        <v>1114</v>
      </c>
      <c r="I233" s="132" t="s">
        <v>1115</v>
      </c>
      <c r="J233" s="39" t="s">
        <v>77</v>
      </c>
      <c r="K233" s="39" t="s">
        <v>94</v>
      </c>
      <c r="L233" s="39" t="s">
        <v>38</v>
      </c>
      <c r="M233" s="44"/>
      <c r="N233" s="39" t="s">
        <v>39</v>
      </c>
      <c r="O233" s="44"/>
      <c r="P233" s="45"/>
    </row>
    <row r="234" spans="1:16" ht="15.75" customHeight="1">
      <c r="A234" s="41" t="str">
        <f t="shared" si="0"/>
        <v>L-233</v>
      </c>
      <c r="B234" s="42" t="s">
        <v>49</v>
      </c>
      <c r="C234" s="55" t="s">
        <v>1116</v>
      </c>
      <c r="D234" s="46" t="s">
        <v>1117</v>
      </c>
      <c r="E234" s="46" t="s">
        <v>554</v>
      </c>
      <c r="F234" s="39" t="s">
        <v>1069</v>
      </c>
      <c r="G234" s="48" t="s">
        <v>1118</v>
      </c>
      <c r="H234" s="46" t="s">
        <v>1119</v>
      </c>
      <c r="I234" s="55" t="s">
        <v>1120</v>
      </c>
      <c r="J234" s="39" t="s">
        <v>77</v>
      </c>
      <c r="K234" s="39" t="s">
        <v>47</v>
      </c>
      <c r="L234" s="39" t="s">
        <v>48</v>
      </c>
      <c r="M234" s="44"/>
      <c r="N234" s="39" t="s">
        <v>39</v>
      </c>
      <c r="O234" s="44"/>
      <c r="P234" s="45" t="s">
        <v>1121</v>
      </c>
    </row>
    <row r="235" spans="1:16" ht="15.75" customHeight="1">
      <c r="A235" s="41" t="str">
        <f t="shared" si="0"/>
        <v>L-234</v>
      </c>
      <c r="B235" s="42" t="s">
        <v>49</v>
      </c>
      <c r="C235" s="133" t="s">
        <v>1122</v>
      </c>
      <c r="D235" s="46" t="s">
        <v>1123</v>
      </c>
      <c r="E235" s="46" t="s">
        <v>554</v>
      </c>
      <c r="F235" s="39" t="s">
        <v>1069</v>
      </c>
      <c r="G235" s="48" t="s">
        <v>1124</v>
      </c>
      <c r="H235" s="46" t="s">
        <v>1125</v>
      </c>
      <c r="I235" s="55" t="s">
        <v>1126</v>
      </c>
      <c r="J235" s="39" t="s">
        <v>77</v>
      </c>
      <c r="K235" s="39" t="s">
        <v>37</v>
      </c>
      <c r="L235" s="39" t="s">
        <v>38</v>
      </c>
      <c r="M235" s="44"/>
      <c r="N235" s="39" t="s">
        <v>39</v>
      </c>
      <c r="O235" s="44"/>
      <c r="P235" s="45"/>
    </row>
    <row r="236" spans="1:16" ht="15.75" customHeight="1">
      <c r="A236" s="41" t="str">
        <f t="shared" si="0"/>
        <v>L-235</v>
      </c>
      <c r="B236" s="42" t="s">
        <v>49</v>
      </c>
      <c r="C236" s="134" t="s">
        <v>1127</v>
      </c>
      <c r="D236" s="134" t="s">
        <v>1128</v>
      </c>
      <c r="E236" s="46" t="s">
        <v>554</v>
      </c>
      <c r="F236" s="39" t="s">
        <v>1069</v>
      </c>
      <c r="G236" s="55" t="s">
        <v>1129</v>
      </c>
      <c r="H236" s="46" t="s">
        <v>1130</v>
      </c>
      <c r="I236" s="55" t="s">
        <v>1131</v>
      </c>
      <c r="J236" s="39" t="s">
        <v>77</v>
      </c>
      <c r="K236" s="39" t="s">
        <v>47</v>
      </c>
      <c r="L236" s="39" t="s">
        <v>48</v>
      </c>
      <c r="M236" s="44"/>
      <c r="N236" s="39" t="s">
        <v>39</v>
      </c>
      <c r="O236" s="44"/>
      <c r="P236" s="45" t="s">
        <v>1132</v>
      </c>
    </row>
    <row r="237" spans="1:16" ht="15.75" customHeight="1">
      <c r="A237" s="41" t="str">
        <f t="shared" si="0"/>
        <v>L-236</v>
      </c>
      <c r="B237" s="42" t="s">
        <v>49</v>
      </c>
      <c r="C237" s="55" t="s">
        <v>1133</v>
      </c>
      <c r="D237" s="46" t="s">
        <v>1134</v>
      </c>
      <c r="E237" s="46" t="s">
        <v>554</v>
      </c>
      <c r="F237" s="39" t="s">
        <v>1069</v>
      </c>
      <c r="G237" s="55" t="s">
        <v>1135</v>
      </c>
      <c r="H237" s="46" t="s">
        <v>1136</v>
      </c>
      <c r="I237" s="55" t="s">
        <v>1137</v>
      </c>
      <c r="J237" s="39" t="s">
        <v>77</v>
      </c>
      <c r="K237" s="39" t="s">
        <v>47</v>
      </c>
      <c r="L237" s="39" t="s">
        <v>48</v>
      </c>
      <c r="M237" s="44"/>
      <c r="N237" s="39" t="s">
        <v>39</v>
      </c>
      <c r="O237" s="44"/>
      <c r="P237" s="45" t="s">
        <v>1132</v>
      </c>
    </row>
    <row r="238" spans="1:16" ht="15.75" customHeight="1">
      <c r="A238" s="41" t="str">
        <f t="shared" si="0"/>
        <v>L-237</v>
      </c>
      <c r="B238" s="42" t="s">
        <v>49</v>
      </c>
      <c r="C238" s="55" t="s">
        <v>1138</v>
      </c>
      <c r="D238" s="46" t="s">
        <v>1139</v>
      </c>
      <c r="E238" s="46" t="s">
        <v>554</v>
      </c>
      <c r="F238" s="39" t="s">
        <v>1069</v>
      </c>
      <c r="G238" s="48" t="s">
        <v>1140</v>
      </c>
      <c r="H238" s="46" t="s">
        <v>1141</v>
      </c>
      <c r="I238" s="135" t="s">
        <v>1142</v>
      </c>
      <c r="J238" s="39" t="s">
        <v>77</v>
      </c>
      <c r="K238" s="39" t="s">
        <v>47</v>
      </c>
      <c r="L238" s="39" t="s">
        <v>48</v>
      </c>
      <c r="M238" s="44"/>
      <c r="N238" s="39" t="s">
        <v>39</v>
      </c>
      <c r="O238" s="44"/>
      <c r="P238" s="45" t="s">
        <v>1143</v>
      </c>
    </row>
    <row r="239" spans="1:16" ht="15.75" customHeight="1">
      <c r="A239" s="41" t="str">
        <f t="shared" si="0"/>
        <v>L-238</v>
      </c>
      <c r="B239" s="42" t="s">
        <v>49</v>
      </c>
      <c r="C239" s="46" t="s">
        <v>1144</v>
      </c>
      <c r="D239" s="46" t="s">
        <v>1145</v>
      </c>
      <c r="E239" s="46" t="s">
        <v>554</v>
      </c>
      <c r="F239" s="39" t="s">
        <v>1069</v>
      </c>
      <c r="G239" s="55" t="s">
        <v>1146</v>
      </c>
      <c r="H239" s="46" t="s">
        <v>1147</v>
      </c>
      <c r="I239" s="55" t="s">
        <v>1148</v>
      </c>
      <c r="J239" s="39" t="s">
        <v>77</v>
      </c>
      <c r="K239" s="39" t="s">
        <v>47</v>
      </c>
      <c r="L239" s="39" t="s">
        <v>48</v>
      </c>
      <c r="M239" s="44"/>
      <c r="N239" s="39" t="s">
        <v>39</v>
      </c>
      <c r="O239" s="44"/>
      <c r="P239" s="45" t="s">
        <v>1094</v>
      </c>
    </row>
    <row r="240" spans="1:16" ht="15.75" customHeight="1">
      <c r="A240" s="41" t="str">
        <f t="shared" si="0"/>
        <v>L-239</v>
      </c>
      <c r="B240" s="42" t="s">
        <v>49</v>
      </c>
      <c r="C240" s="46" t="s">
        <v>1149</v>
      </c>
      <c r="D240" s="46" t="s">
        <v>1150</v>
      </c>
      <c r="E240" s="46" t="s">
        <v>554</v>
      </c>
      <c r="F240" s="39" t="s">
        <v>1069</v>
      </c>
      <c r="G240" s="48" t="s">
        <v>1151</v>
      </c>
      <c r="H240" s="46" t="s">
        <v>1152</v>
      </c>
      <c r="I240" s="136" t="s">
        <v>1153</v>
      </c>
      <c r="J240" s="39" t="s">
        <v>77</v>
      </c>
      <c r="K240" s="39" t="s">
        <v>37</v>
      </c>
      <c r="L240" s="39" t="s">
        <v>83</v>
      </c>
      <c r="M240" s="44"/>
      <c r="N240" s="39" t="s">
        <v>39</v>
      </c>
      <c r="O240" s="44"/>
      <c r="P240" s="45"/>
    </row>
    <row r="241" spans="1:16" ht="15.75" customHeight="1">
      <c r="A241" s="41" t="str">
        <f t="shared" si="0"/>
        <v>L-240</v>
      </c>
      <c r="B241" s="42" t="s">
        <v>49</v>
      </c>
      <c r="C241" s="46" t="s">
        <v>1154</v>
      </c>
      <c r="D241" s="46" t="s">
        <v>1155</v>
      </c>
      <c r="E241" s="46"/>
      <c r="F241" s="39" t="s">
        <v>1069</v>
      </c>
      <c r="G241" s="46"/>
      <c r="H241" s="46" t="s">
        <v>1156</v>
      </c>
      <c r="I241" s="46"/>
      <c r="J241" s="39" t="s">
        <v>77</v>
      </c>
      <c r="K241" s="39" t="s">
        <v>97</v>
      </c>
      <c r="L241" s="39" t="s">
        <v>48</v>
      </c>
      <c r="M241" s="44"/>
      <c r="N241" s="39" t="s">
        <v>39</v>
      </c>
      <c r="O241" s="44"/>
      <c r="P241" s="45" t="s">
        <v>1041</v>
      </c>
    </row>
    <row r="242" spans="1:16" ht="15.75" customHeight="1">
      <c r="A242" s="41" t="str">
        <f t="shared" si="0"/>
        <v>L-241</v>
      </c>
      <c r="B242" s="42" t="s">
        <v>49</v>
      </c>
      <c r="C242" s="46" t="s">
        <v>1157</v>
      </c>
      <c r="D242" s="46" t="s">
        <v>1158</v>
      </c>
      <c r="E242" s="46"/>
      <c r="F242" s="39" t="s">
        <v>1069</v>
      </c>
      <c r="G242" s="55" t="s">
        <v>1159</v>
      </c>
      <c r="H242" s="46" t="s">
        <v>1160</v>
      </c>
      <c r="I242" s="137" t="s">
        <v>1161</v>
      </c>
      <c r="J242" s="39" t="s">
        <v>77</v>
      </c>
      <c r="K242" s="39" t="s">
        <v>47</v>
      </c>
      <c r="L242" s="39" t="s">
        <v>48</v>
      </c>
      <c r="M242" s="44"/>
      <c r="N242" s="39" t="s">
        <v>39</v>
      </c>
      <c r="O242" s="44"/>
      <c r="P242" s="45" t="s">
        <v>1162</v>
      </c>
    </row>
    <row r="243" spans="1:16" ht="15.75" customHeight="1">
      <c r="A243" s="41" t="str">
        <f t="shared" si="0"/>
        <v>L-242</v>
      </c>
      <c r="B243" s="42" t="s">
        <v>49</v>
      </c>
      <c r="C243" s="46" t="s">
        <v>1163</v>
      </c>
      <c r="D243" s="46" t="s">
        <v>1163</v>
      </c>
      <c r="E243" s="46"/>
      <c r="F243" s="39" t="s">
        <v>1069</v>
      </c>
      <c r="G243" s="55" t="s">
        <v>1164</v>
      </c>
      <c r="H243" s="46" t="s">
        <v>1165</v>
      </c>
      <c r="I243" s="138" t="s">
        <v>1166</v>
      </c>
      <c r="J243" s="39" t="s">
        <v>77</v>
      </c>
      <c r="K243" s="39" t="s">
        <v>47</v>
      </c>
      <c r="L243" s="39" t="s">
        <v>48</v>
      </c>
      <c r="M243" s="44"/>
      <c r="N243" s="39" t="s">
        <v>39</v>
      </c>
      <c r="O243" s="44"/>
      <c r="P243" s="45" t="s">
        <v>1094</v>
      </c>
    </row>
    <row r="244" spans="1:16" ht="15.75" customHeight="1">
      <c r="A244" s="41" t="str">
        <f t="shared" si="0"/>
        <v>L-243</v>
      </c>
      <c r="B244" s="42" t="s">
        <v>49</v>
      </c>
      <c r="C244" s="46" t="s">
        <v>1167</v>
      </c>
      <c r="D244" s="46" t="s">
        <v>1168</v>
      </c>
      <c r="E244" s="46" t="s">
        <v>554</v>
      </c>
      <c r="F244" s="39" t="s">
        <v>1069</v>
      </c>
      <c r="G244" s="48" t="s">
        <v>1169</v>
      </c>
      <c r="H244" s="46" t="s">
        <v>1170</v>
      </c>
      <c r="I244" s="139" t="s">
        <v>1171</v>
      </c>
      <c r="J244" s="39" t="s">
        <v>77</v>
      </c>
      <c r="K244" s="39" t="s">
        <v>47</v>
      </c>
      <c r="L244" s="39" t="s">
        <v>38</v>
      </c>
      <c r="M244" s="44"/>
      <c r="N244" s="39" t="s">
        <v>39</v>
      </c>
      <c r="O244" s="44"/>
      <c r="P244" s="45" t="s">
        <v>1162</v>
      </c>
    </row>
    <row r="245" spans="1:16" ht="15.75" customHeight="1">
      <c r="A245" s="41" t="str">
        <f t="shared" si="0"/>
        <v>L-244</v>
      </c>
      <c r="B245" s="42" t="s">
        <v>49</v>
      </c>
      <c r="C245" s="46" t="s">
        <v>1172</v>
      </c>
      <c r="D245" s="46" t="s">
        <v>1173</v>
      </c>
      <c r="E245" s="46" t="s">
        <v>554</v>
      </c>
      <c r="F245" s="39" t="s">
        <v>1069</v>
      </c>
      <c r="G245" s="140" t="s">
        <v>1174</v>
      </c>
      <c r="H245" s="46" t="s">
        <v>1175</v>
      </c>
      <c r="I245" s="141" t="s">
        <v>1176</v>
      </c>
      <c r="J245" s="39" t="s">
        <v>77</v>
      </c>
      <c r="K245" s="39" t="s">
        <v>47</v>
      </c>
      <c r="L245" s="39" t="s">
        <v>48</v>
      </c>
      <c r="M245" s="44"/>
      <c r="N245" s="39" t="s">
        <v>39</v>
      </c>
      <c r="O245" s="44"/>
      <c r="P245" s="45" t="s">
        <v>1094</v>
      </c>
    </row>
    <row r="246" spans="1:16" ht="15.75" customHeight="1">
      <c r="A246" s="41" t="str">
        <f t="shared" si="0"/>
        <v>L-245</v>
      </c>
      <c r="B246" s="42" t="s">
        <v>49</v>
      </c>
      <c r="C246" s="46" t="s">
        <v>1177</v>
      </c>
      <c r="D246" s="46"/>
      <c r="E246" s="46"/>
      <c r="F246" s="39" t="s">
        <v>1069</v>
      </c>
      <c r="G246" s="55" t="s">
        <v>1178</v>
      </c>
      <c r="H246" s="46" t="s">
        <v>1179</v>
      </c>
      <c r="I246" s="142" t="s">
        <v>1180</v>
      </c>
      <c r="J246" s="39" t="s">
        <v>77</v>
      </c>
      <c r="K246" s="39" t="s">
        <v>47</v>
      </c>
      <c r="L246" s="39" t="s">
        <v>48</v>
      </c>
      <c r="M246" s="44"/>
      <c r="N246" s="39" t="s">
        <v>39</v>
      </c>
      <c r="O246" s="44"/>
      <c r="P246" s="45" t="s">
        <v>1181</v>
      </c>
    </row>
    <row r="247" spans="1:16" ht="15.75" customHeight="1">
      <c r="A247" s="41" t="str">
        <f t="shared" si="0"/>
        <v>L-246</v>
      </c>
      <c r="B247" s="42" t="s">
        <v>49</v>
      </c>
      <c r="C247" s="46" t="s">
        <v>1182</v>
      </c>
      <c r="D247" s="46" t="s">
        <v>1183</v>
      </c>
      <c r="E247" s="46" t="s">
        <v>554</v>
      </c>
      <c r="F247" s="39" t="s">
        <v>1069</v>
      </c>
      <c r="G247" s="55" t="s">
        <v>1184</v>
      </c>
      <c r="H247" s="46" t="s">
        <v>1185</v>
      </c>
      <c r="I247" s="55" t="s">
        <v>1186</v>
      </c>
      <c r="J247" s="39" t="s">
        <v>77</v>
      </c>
      <c r="K247" s="39" t="s">
        <v>37</v>
      </c>
      <c r="L247" s="39" t="s">
        <v>83</v>
      </c>
      <c r="M247" s="44"/>
      <c r="N247" s="39" t="s">
        <v>39</v>
      </c>
      <c r="O247" s="44"/>
      <c r="P247" s="45" t="s">
        <v>1162</v>
      </c>
    </row>
    <row r="248" spans="1:16" ht="15.75" customHeight="1">
      <c r="A248" s="41" t="str">
        <f t="shared" si="0"/>
        <v>L-247</v>
      </c>
      <c r="B248" s="42" t="s">
        <v>49</v>
      </c>
      <c r="C248" s="46" t="s">
        <v>1187</v>
      </c>
      <c r="D248" s="46" t="s">
        <v>1188</v>
      </c>
      <c r="E248" s="46" t="s">
        <v>554</v>
      </c>
      <c r="F248" s="39" t="s">
        <v>1069</v>
      </c>
      <c r="G248" s="46"/>
      <c r="H248" s="46" t="s">
        <v>1189</v>
      </c>
      <c r="I248" s="46"/>
      <c r="J248" s="39" t="s">
        <v>77</v>
      </c>
      <c r="K248" s="39" t="s">
        <v>97</v>
      </c>
      <c r="L248" s="39" t="s">
        <v>48</v>
      </c>
      <c r="M248" s="44"/>
      <c r="N248" s="39" t="s">
        <v>39</v>
      </c>
      <c r="O248" s="44"/>
      <c r="P248" s="45" t="s">
        <v>1041</v>
      </c>
    </row>
    <row r="249" spans="1:16" ht="15.75" customHeight="1">
      <c r="A249" s="41" t="str">
        <f t="shared" si="0"/>
        <v>L-248</v>
      </c>
      <c r="B249" s="42" t="s">
        <v>49</v>
      </c>
      <c r="C249" s="143" t="s">
        <v>1190</v>
      </c>
      <c r="D249" s="143" t="s">
        <v>1190</v>
      </c>
      <c r="E249" s="46"/>
      <c r="F249" s="39" t="s">
        <v>1069</v>
      </c>
      <c r="G249" s="46"/>
      <c r="H249" s="46" t="s">
        <v>1191</v>
      </c>
      <c r="I249" s="46"/>
      <c r="J249" s="39" t="s">
        <v>77</v>
      </c>
      <c r="K249" s="39" t="s">
        <v>97</v>
      </c>
      <c r="L249" s="39" t="s">
        <v>48</v>
      </c>
      <c r="M249" s="44"/>
      <c r="N249" s="39" t="s">
        <v>39</v>
      </c>
      <c r="O249" s="44"/>
      <c r="P249" s="45" t="s">
        <v>1041</v>
      </c>
    </row>
    <row r="250" spans="1:16" ht="15.75" customHeight="1">
      <c r="A250" s="41" t="str">
        <f t="shared" si="0"/>
        <v>L-249</v>
      </c>
      <c r="B250" s="42" t="s">
        <v>49</v>
      </c>
      <c r="C250" s="144" t="s">
        <v>1192</v>
      </c>
      <c r="D250" s="46"/>
      <c r="E250" s="46"/>
      <c r="F250" s="39" t="s">
        <v>1069</v>
      </c>
      <c r="G250" s="55" t="s">
        <v>1193</v>
      </c>
      <c r="H250" s="46" t="s">
        <v>1194</v>
      </c>
      <c r="I250" s="145" t="s">
        <v>1195</v>
      </c>
      <c r="J250" s="39" t="s">
        <v>77</v>
      </c>
      <c r="K250" s="39" t="s">
        <v>47</v>
      </c>
      <c r="L250" s="39" t="s">
        <v>48</v>
      </c>
      <c r="M250" s="44"/>
      <c r="N250" s="39" t="s">
        <v>39</v>
      </c>
      <c r="O250" s="44"/>
      <c r="P250" s="45" t="s">
        <v>1094</v>
      </c>
    </row>
    <row r="251" spans="1:16" ht="15.75" customHeight="1">
      <c r="A251" s="41" t="str">
        <f t="shared" si="0"/>
        <v>L-250</v>
      </c>
      <c r="B251" s="42" t="s">
        <v>49</v>
      </c>
      <c r="C251" s="146" t="s">
        <v>1196</v>
      </c>
      <c r="D251" s="146" t="s">
        <v>1197</v>
      </c>
      <c r="E251" s="46" t="s">
        <v>554</v>
      </c>
      <c r="F251" s="39" t="s">
        <v>1069</v>
      </c>
      <c r="G251" s="147" t="s">
        <v>1198</v>
      </c>
      <c r="H251" s="46" t="s">
        <v>1199</v>
      </c>
      <c r="I251" s="55" t="s">
        <v>1200</v>
      </c>
      <c r="J251" s="39" t="s">
        <v>77</v>
      </c>
      <c r="K251" s="39" t="s">
        <v>47</v>
      </c>
      <c r="L251" s="39" t="s">
        <v>48</v>
      </c>
      <c r="M251" s="44"/>
      <c r="N251" s="39" t="s">
        <v>39</v>
      </c>
      <c r="O251" s="44"/>
      <c r="P251" s="45" t="s">
        <v>1162</v>
      </c>
    </row>
    <row r="252" spans="1:16" ht="15.75" customHeight="1">
      <c r="A252" s="41" t="str">
        <f t="shared" si="0"/>
        <v>L-251</v>
      </c>
      <c r="B252" s="42" t="s">
        <v>49</v>
      </c>
      <c r="C252" s="46" t="s">
        <v>1201</v>
      </c>
      <c r="D252" s="46" t="s">
        <v>1202</v>
      </c>
      <c r="E252" s="46"/>
      <c r="F252" s="39" t="s">
        <v>1069</v>
      </c>
      <c r="G252" s="55" t="s">
        <v>1203</v>
      </c>
      <c r="H252" s="46" t="s">
        <v>1204</v>
      </c>
      <c r="I252" s="55" t="s">
        <v>1205</v>
      </c>
      <c r="J252" s="39" t="s">
        <v>77</v>
      </c>
      <c r="K252" s="39" t="s">
        <v>47</v>
      </c>
      <c r="L252" s="39" t="s">
        <v>48</v>
      </c>
      <c r="M252" s="44"/>
      <c r="N252" s="39" t="s">
        <v>39</v>
      </c>
      <c r="O252" s="44"/>
      <c r="P252" s="45" t="s">
        <v>1162</v>
      </c>
    </row>
    <row r="253" spans="1:16" ht="15.75" customHeight="1">
      <c r="A253" s="41" t="str">
        <f t="shared" si="0"/>
        <v>L-252</v>
      </c>
      <c r="B253" s="42" t="s">
        <v>49</v>
      </c>
      <c r="C253" s="46" t="s">
        <v>1206</v>
      </c>
      <c r="D253" s="46" t="s">
        <v>1207</v>
      </c>
      <c r="E253" s="46"/>
      <c r="F253" s="39" t="s">
        <v>1069</v>
      </c>
      <c r="G253" s="50" t="s">
        <v>1208</v>
      </c>
      <c r="H253" s="46" t="s">
        <v>1209</v>
      </c>
      <c r="I253" s="148" t="s">
        <v>1210</v>
      </c>
      <c r="J253" s="39" t="s">
        <v>77</v>
      </c>
      <c r="K253" s="39" t="s">
        <v>94</v>
      </c>
      <c r="L253" s="39" t="s">
        <v>48</v>
      </c>
      <c r="M253" s="44"/>
      <c r="N253" s="39" t="s">
        <v>39</v>
      </c>
      <c r="O253" s="44"/>
      <c r="P253" s="45"/>
    </row>
    <row r="254" spans="1:16" ht="15.75" customHeight="1">
      <c r="A254" s="41" t="str">
        <f t="shared" si="0"/>
        <v>L-253</v>
      </c>
      <c r="B254" s="42" t="s">
        <v>49</v>
      </c>
      <c r="C254" s="149" t="s">
        <v>1211</v>
      </c>
      <c r="D254" s="149" t="s">
        <v>1212</v>
      </c>
      <c r="E254" s="46" t="s">
        <v>554</v>
      </c>
      <c r="F254" s="39" t="s">
        <v>1069</v>
      </c>
      <c r="G254" s="84" t="s">
        <v>1213</v>
      </c>
      <c r="H254" s="46" t="s">
        <v>1214</v>
      </c>
      <c r="I254" s="150" t="s">
        <v>1215</v>
      </c>
      <c r="J254" s="39" t="s">
        <v>77</v>
      </c>
      <c r="K254" s="39" t="s">
        <v>47</v>
      </c>
      <c r="L254" s="39" t="s">
        <v>48</v>
      </c>
      <c r="M254" s="44"/>
      <c r="N254" s="39" t="s">
        <v>39</v>
      </c>
      <c r="O254" s="44"/>
      <c r="P254" s="45" t="s">
        <v>1216</v>
      </c>
    </row>
    <row r="255" spans="1:16" ht="15.75" customHeight="1">
      <c r="A255" s="41" t="str">
        <f t="shared" si="0"/>
        <v>L-254</v>
      </c>
      <c r="B255" s="42" t="s">
        <v>49</v>
      </c>
      <c r="C255" s="46" t="s">
        <v>1217</v>
      </c>
      <c r="D255" s="46" t="s">
        <v>1218</v>
      </c>
      <c r="E255" s="46"/>
      <c r="F255" s="39" t="s">
        <v>1069</v>
      </c>
      <c r="G255" s="46"/>
      <c r="H255" s="46" t="s">
        <v>1219</v>
      </c>
      <c r="I255" s="46"/>
      <c r="J255" s="39" t="s">
        <v>77</v>
      </c>
      <c r="K255" s="39" t="s">
        <v>97</v>
      </c>
      <c r="L255" s="39" t="s">
        <v>48</v>
      </c>
      <c r="M255" s="44"/>
      <c r="N255" s="39" t="s">
        <v>39</v>
      </c>
      <c r="O255" s="44"/>
      <c r="P255" s="45" t="s">
        <v>1041</v>
      </c>
    </row>
    <row r="256" spans="1:16" ht="15.75" customHeight="1">
      <c r="A256" s="41" t="str">
        <f t="shared" si="0"/>
        <v>L-255</v>
      </c>
      <c r="B256" s="42" t="s">
        <v>49</v>
      </c>
      <c r="C256" s="123" t="s">
        <v>1220</v>
      </c>
      <c r="D256" s="123" t="s">
        <v>1221</v>
      </c>
      <c r="E256" s="46"/>
      <c r="F256" s="39" t="s">
        <v>1069</v>
      </c>
      <c r="G256" s="55" t="s">
        <v>1222</v>
      </c>
      <c r="H256" s="46" t="s">
        <v>1223</v>
      </c>
      <c r="I256" s="55" t="s">
        <v>1224</v>
      </c>
      <c r="J256" s="39" t="s">
        <v>77</v>
      </c>
      <c r="K256" s="39" t="s">
        <v>97</v>
      </c>
      <c r="L256" s="39" t="s">
        <v>48</v>
      </c>
      <c r="M256" s="44"/>
      <c r="N256" s="39" t="s">
        <v>39</v>
      </c>
      <c r="O256" s="44"/>
      <c r="P256" s="45" t="s">
        <v>1041</v>
      </c>
    </row>
    <row r="257" spans="1:16" ht="15.75" customHeight="1">
      <c r="A257" s="41" t="str">
        <f t="shared" ref="A257:A275" si="1">IF($C257&lt;&gt;"","L-"&amp;TEXT(ROW()-1,"000"),"")</f>
        <v>L-256</v>
      </c>
      <c r="B257" s="42" t="s">
        <v>49</v>
      </c>
      <c r="C257" s="151" t="s">
        <v>1225</v>
      </c>
      <c r="D257" s="46"/>
      <c r="E257" s="46"/>
      <c r="F257" s="39" t="s">
        <v>1226</v>
      </c>
      <c r="G257" s="55" t="s">
        <v>1227</v>
      </c>
      <c r="H257" s="46" t="s">
        <v>1228</v>
      </c>
      <c r="I257" s="55" t="s">
        <v>1229</v>
      </c>
      <c r="J257" s="39" t="s">
        <v>77</v>
      </c>
      <c r="K257" s="39" t="s">
        <v>47</v>
      </c>
      <c r="L257" s="39" t="s">
        <v>38</v>
      </c>
      <c r="M257" s="44"/>
      <c r="N257" s="39" t="s">
        <v>39</v>
      </c>
      <c r="O257" s="44"/>
      <c r="P257" s="45"/>
    </row>
    <row r="258" spans="1:16" ht="15.75" customHeight="1">
      <c r="A258" s="41" t="str">
        <f t="shared" si="1"/>
        <v>L-257</v>
      </c>
      <c r="B258" s="42" t="s">
        <v>49</v>
      </c>
      <c r="C258" s="46" t="s">
        <v>1230</v>
      </c>
      <c r="D258" s="46" t="s">
        <v>1230</v>
      </c>
      <c r="E258" s="46"/>
      <c r="F258" s="39" t="s">
        <v>1226</v>
      </c>
      <c r="G258" s="55" t="s">
        <v>1231</v>
      </c>
      <c r="H258" s="46" t="s">
        <v>1232</v>
      </c>
      <c r="I258" s="55" t="s">
        <v>1233</v>
      </c>
      <c r="J258" s="39" t="s">
        <v>77</v>
      </c>
      <c r="K258" s="39" t="s">
        <v>37</v>
      </c>
      <c r="L258" s="39" t="s">
        <v>83</v>
      </c>
      <c r="M258" s="44"/>
      <c r="N258" s="39" t="s">
        <v>39</v>
      </c>
      <c r="O258" s="44"/>
      <c r="P258" s="45"/>
    </row>
    <row r="259" spans="1:16" ht="15.75" customHeight="1">
      <c r="A259" s="41" t="str">
        <f t="shared" si="1"/>
        <v>L-258</v>
      </c>
      <c r="B259" s="42" t="s">
        <v>49</v>
      </c>
      <c r="C259" s="124" t="s">
        <v>1234</v>
      </c>
      <c r="D259" s="151"/>
      <c r="E259" s="46"/>
      <c r="F259" s="39" t="s">
        <v>1069</v>
      </c>
      <c r="G259" s="50"/>
      <c r="H259" s="46" t="s">
        <v>1235</v>
      </c>
      <c r="I259" s="46"/>
      <c r="J259" s="39" t="s">
        <v>77</v>
      </c>
      <c r="K259" s="39" t="s">
        <v>97</v>
      </c>
      <c r="L259" s="39" t="s">
        <v>48</v>
      </c>
      <c r="M259" s="44"/>
      <c r="N259" s="39" t="s">
        <v>39</v>
      </c>
      <c r="O259" s="44"/>
      <c r="P259" s="45" t="s">
        <v>1041</v>
      </c>
    </row>
    <row r="260" spans="1:16" ht="15.75" customHeight="1">
      <c r="A260" s="41" t="str">
        <f t="shared" si="1"/>
        <v>L-259</v>
      </c>
      <c r="B260" s="42" t="s">
        <v>49</v>
      </c>
      <c r="C260" s="124" t="s">
        <v>1236</v>
      </c>
      <c r="D260" s="46"/>
      <c r="E260" s="46"/>
      <c r="F260" s="39" t="s">
        <v>1069</v>
      </c>
      <c r="G260" s="46"/>
      <c r="H260" s="46" t="s">
        <v>1237</v>
      </c>
      <c r="I260" s="46"/>
      <c r="J260" s="39" t="s">
        <v>77</v>
      </c>
      <c r="K260" s="39" t="s">
        <v>97</v>
      </c>
      <c r="L260" s="39" t="s">
        <v>48</v>
      </c>
      <c r="M260" s="44"/>
      <c r="N260" s="39" t="s">
        <v>39</v>
      </c>
      <c r="O260" s="44"/>
      <c r="P260" s="45" t="s">
        <v>1041</v>
      </c>
    </row>
    <row r="261" spans="1:16" ht="15.75" customHeight="1">
      <c r="A261" s="41" t="str">
        <f t="shared" si="1"/>
        <v/>
      </c>
      <c r="B261" s="42"/>
      <c r="C261" s="46"/>
      <c r="D261" s="46"/>
      <c r="E261" s="46"/>
      <c r="F261" s="39"/>
      <c r="G261" s="46"/>
      <c r="H261" s="46"/>
      <c r="I261" s="46"/>
      <c r="J261" s="39"/>
      <c r="K261" s="39"/>
      <c r="L261" s="39"/>
      <c r="M261" s="44"/>
      <c r="N261" s="39"/>
      <c r="O261" s="44"/>
      <c r="P261" s="45"/>
    </row>
    <row r="262" spans="1:16" ht="15.75" customHeight="1">
      <c r="A262" s="41" t="str">
        <f t="shared" si="1"/>
        <v/>
      </c>
      <c r="B262" s="42"/>
      <c r="C262" s="46"/>
      <c r="D262" s="46"/>
      <c r="E262" s="46"/>
      <c r="F262" s="39"/>
      <c r="G262" s="46"/>
      <c r="H262" s="46"/>
      <c r="I262" s="46"/>
      <c r="J262" s="39"/>
      <c r="K262" s="39"/>
      <c r="L262" s="39"/>
      <c r="M262" s="44"/>
      <c r="N262" s="39"/>
      <c r="O262" s="44"/>
      <c r="P262" s="45"/>
    </row>
    <row r="263" spans="1:16" ht="15.75" customHeight="1">
      <c r="A263" s="41" t="str">
        <f t="shared" si="1"/>
        <v/>
      </c>
      <c r="B263" s="42"/>
      <c r="C263" s="46"/>
      <c r="D263" s="46"/>
      <c r="E263" s="46"/>
      <c r="F263" s="39"/>
      <c r="G263" s="46"/>
      <c r="H263" s="46"/>
      <c r="I263" s="46"/>
      <c r="J263" s="39"/>
      <c r="K263" s="39"/>
      <c r="L263" s="39"/>
      <c r="M263" s="44"/>
      <c r="N263" s="39"/>
      <c r="O263" s="44"/>
      <c r="P263" s="45"/>
    </row>
    <row r="264" spans="1:16" ht="15.75" customHeight="1">
      <c r="A264" s="41" t="str">
        <f t="shared" si="1"/>
        <v/>
      </c>
      <c r="B264" s="42"/>
      <c r="C264" s="46"/>
      <c r="D264" s="46"/>
      <c r="E264" s="46"/>
      <c r="F264" s="39"/>
      <c r="G264" s="46"/>
      <c r="H264" s="46"/>
      <c r="I264" s="46"/>
      <c r="J264" s="39"/>
      <c r="K264" s="39"/>
      <c r="L264" s="39"/>
      <c r="M264" s="44"/>
      <c r="N264" s="39"/>
      <c r="O264" s="44"/>
      <c r="P264" s="45"/>
    </row>
    <row r="265" spans="1:16" ht="15.75" customHeight="1">
      <c r="A265" s="41" t="str">
        <f t="shared" si="1"/>
        <v/>
      </c>
      <c r="B265" s="42"/>
      <c r="C265" s="46"/>
      <c r="D265" s="46"/>
      <c r="E265" s="46"/>
      <c r="F265" s="39"/>
      <c r="G265" s="46"/>
      <c r="H265" s="46"/>
      <c r="I265" s="46"/>
      <c r="J265" s="39"/>
      <c r="K265" s="39"/>
      <c r="L265" s="39"/>
      <c r="M265" s="44"/>
      <c r="N265" s="39"/>
      <c r="O265" s="44"/>
      <c r="P265" s="45"/>
    </row>
    <row r="266" spans="1:16" ht="15.75" customHeight="1">
      <c r="A266" s="41" t="str">
        <f t="shared" si="1"/>
        <v/>
      </c>
      <c r="B266" s="42"/>
      <c r="C266" s="46"/>
      <c r="D266" s="46"/>
      <c r="E266" s="46"/>
      <c r="F266" s="39"/>
      <c r="G266" s="46"/>
      <c r="H266" s="46"/>
      <c r="I266" s="46"/>
      <c r="J266" s="39"/>
      <c r="K266" s="39"/>
      <c r="L266" s="39"/>
      <c r="M266" s="44"/>
      <c r="N266" s="39"/>
      <c r="O266" s="44"/>
      <c r="P266" s="45"/>
    </row>
    <row r="267" spans="1:16" ht="15.75" customHeight="1">
      <c r="A267" s="41" t="str">
        <f t="shared" si="1"/>
        <v/>
      </c>
      <c r="B267" s="42"/>
      <c r="C267" s="46"/>
      <c r="D267" s="46"/>
      <c r="E267" s="46"/>
      <c r="F267" s="39"/>
      <c r="G267" s="46"/>
      <c r="H267" s="46"/>
      <c r="I267" s="46"/>
      <c r="J267" s="39"/>
      <c r="K267" s="39"/>
      <c r="L267" s="39"/>
      <c r="M267" s="44"/>
      <c r="N267" s="39"/>
      <c r="O267" s="44"/>
      <c r="P267" s="45"/>
    </row>
    <row r="268" spans="1:16" ht="15.75" customHeight="1">
      <c r="A268" s="41" t="str">
        <f t="shared" si="1"/>
        <v/>
      </c>
      <c r="B268" s="42"/>
      <c r="C268" s="46"/>
      <c r="D268" s="46"/>
      <c r="E268" s="46"/>
      <c r="F268" s="39"/>
      <c r="G268" s="46"/>
      <c r="H268" s="46"/>
      <c r="I268" s="46"/>
      <c r="J268" s="39"/>
      <c r="K268" s="39"/>
      <c r="L268" s="39"/>
      <c r="M268" s="44"/>
      <c r="N268" s="39"/>
      <c r="O268" s="44"/>
      <c r="P268" s="45"/>
    </row>
    <row r="269" spans="1:16" ht="15.75" customHeight="1">
      <c r="A269" s="41" t="str">
        <f t="shared" si="1"/>
        <v/>
      </c>
      <c r="B269" s="42"/>
      <c r="C269" s="46"/>
      <c r="D269" s="46"/>
      <c r="E269" s="46"/>
      <c r="F269" s="39"/>
      <c r="G269" s="46"/>
      <c r="H269" s="46"/>
      <c r="I269" s="46"/>
      <c r="J269" s="39"/>
      <c r="K269" s="39"/>
      <c r="L269" s="39"/>
      <c r="M269" s="44"/>
      <c r="N269" s="39"/>
      <c r="O269" s="44"/>
      <c r="P269" s="45"/>
    </row>
    <row r="270" spans="1:16" ht="15.75" customHeight="1">
      <c r="A270" s="41" t="str">
        <f t="shared" si="1"/>
        <v/>
      </c>
      <c r="B270" s="42"/>
      <c r="C270" s="46"/>
      <c r="D270" s="46"/>
      <c r="E270" s="46"/>
      <c r="F270" s="39"/>
      <c r="G270" s="46"/>
      <c r="H270" s="46"/>
      <c r="I270" s="46"/>
      <c r="J270" s="39"/>
      <c r="K270" s="39"/>
      <c r="L270" s="39"/>
      <c r="M270" s="44"/>
      <c r="N270" s="39"/>
      <c r="O270" s="44"/>
      <c r="P270" s="45"/>
    </row>
    <row r="271" spans="1:16" ht="15.75" customHeight="1">
      <c r="A271" s="41" t="str">
        <f t="shared" si="1"/>
        <v/>
      </c>
      <c r="B271" s="42"/>
      <c r="C271" s="46"/>
      <c r="D271" s="46"/>
      <c r="E271" s="46"/>
      <c r="F271" s="39"/>
      <c r="G271" s="46"/>
      <c r="H271" s="46"/>
      <c r="I271" s="46"/>
      <c r="J271" s="39"/>
      <c r="K271" s="39"/>
      <c r="L271" s="39"/>
      <c r="M271" s="44"/>
      <c r="N271" s="39"/>
      <c r="O271" s="44"/>
      <c r="P271" s="45"/>
    </row>
    <row r="272" spans="1:16" ht="15.75" customHeight="1">
      <c r="A272" s="41" t="str">
        <f t="shared" si="1"/>
        <v/>
      </c>
      <c r="B272" s="42"/>
      <c r="C272" s="46"/>
      <c r="D272" s="46"/>
      <c r="E272" s="46"/>
      <c r="F272" s="39"/>
      <c r="G272" s="46"/>
      <c r="H272" s="46"/>
      <c r="I272" s="46"/>
      <c r="J272" s="39"/>
      <c r="K272" s="39"/>
      <c r="L272" s="39"/>
      <c r="M272" s="44"/>
      <c r="N272" s="39"/>
      <c r="O272" s="44"/>
      <c r="P272" s="45"/>
    </row>
    <row r="273" spans="1:16" ht="15.75" customHeight="1">
      <c r="A273" s="41" t="str">
        <f t="shared" si="1"/>
        <v/>
      </c>
      <c r="B273" s="42"/>
      <c r="C273" s="46"/>
      <c r="D273" s="46"/>
      <c r="E273" s="46"/>
      <c r="F273" s="39"/>
      <c r="G273" s="46"/>
      <c r="H273" s="46"/>
      <c r="I273" s="46"/>
      <c r="J273" s="39"/>
      <c r="K273" s="39"/>
      <c r="L273" s="39"/>
      <c r="M273" s="44"/>
      <c r="N273" s="39"/>
      <c r="O273" s="44"/>
      <c r="P273" s="45"/>
    </row>
    <row r="274" spans="1:16" ht="15.75" customHeight="1">
      <c r="A274" s="41" t="str">
        <f t="shared" si="1"/>
        <v/>
      </c>
      <c r="B274" s="42"/>
      <c r="C274" s="46"/>
      <c r="D274" s="46"/>
      <c r="E274" s="46"/>
      <c r="F274" s="39"/>
      <c r="G274" s="46"/>
      <c r="H274" s="46"/>
      <c r="I274" s="46"/>
      <c r="J274" s="39"/>
      <c r="K274" s="39"/>
      <c r="L274" s="39"/>
      <c r="M274" s="44"/>
      <c r="N274" s="39"/>
      <c r="O274" s="44"/>
      <c r="P274" s="45"/>
    </row>
    <row r="275" spans="1:16" ht="15.75" customHeight="1">
      <c r="A275" s="41" t="str">
        <f t="shared" si="1"/>
        <v/>
      </c>
      <c r="B275" s="42"/>
      <c r="C275" s="46"/>
      <c r="D275" s="46"/>
      <c r="E275" s="46"/>
      <c r="F275" s="39"/>
      <c r="G275" s="46"/>
      <c r="H275" s="46"/>
      <c r="I275" s="46"/>
      <c r="J275" s="39"/>
      <c r="K275" s="39"/>
      <c r="L275" s="39"/>
      <c r="M275" s="44"/>
      <c r="N275" s="39"/>
      <c r="O275" s="44"/>
      <c r="P275" s="45"/>
    </row>
    <row r="276" spans="1:16" ht="15.75" customHeight="1">
      <c r="A276" s="152"/>
      <c r="B276" s="153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154"/>
    </row>
    <row r="277" spans="1:16" ht="15.75" customHeight="1">
      <c r="A277" s="152"/>
      <c r="B277" s="153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154"/>
    </row>
    <row r="278" spans="1:16" ht="15.75" customHeight="1">
      <c r="A278" s="152"/>
      <c r="B278" s="153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154"/>
    </row>
    <row r="279" spans="1:16" ht="15.75" customHeight="1">
      <c r="A279" s="152"/>
      <c r="B279" s="153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154"/>
    </row>
    <row r="280" spans="1:16" ht="15.75" customHeight="1">
      <c r="A280" s="152"/>
      <c r="B280" s="153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154"/>
    </row>
    <row r="281" spans="1:16" ht="15.75" customHeight="1">
      <c r="A281" s="152"/>
      <c r="B281" s="153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154"/>
    </row>
    <row r="282" spans="1:16" ht="15.75" customHeight="1">
      <c r="A282" s="152"/>
      <c r="B282" s="153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154"/>
    </row>
    <row r="283" spans="1:16" ht="15.75" customHeight="1">
      <c r="A283" s="152"/>
      <c r="B283" s="153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154"/>
    </row>
    <row r="284" spans="1:16" ht="15.75" customHeight="1">
      <c r="A284" s="152"/>
      <c r="B284" s="153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154"/>
    </row>
    <row r="285" spans="1:16" ht="15.75" customHeight="1">
      <c r="A285" s="152"/>
      <c r="B285" s="153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154"/>
    </row>
    <row r="286" spans="1:16" ht="15.75" customHeight="1">
      <c r="A286" s="152"/>
      <c r="B286" s="153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154"/>
    </row>
    <row r="287" spans="1:16" ht="15.75" customHeight="1">
      <c r="A287" s="152"/>
      <c r="B287" s="153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154"/>
    </row>
    <row r="288" spans="1:16" ht="15.75" customHeight="1">
      <c r="A288" s="152"/>
      <c r="B288" s="153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154"/>
    </row>
    <row r="289" spans="1:16" ht="15.75" customHeight="1">
      <c r="A289" s="152"/>
      <c r="B289" s="153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154"/>
    </row>
    <row r="290" spans="1:16" ht="15.75" customHeight="1">
      <c r="A290" s="152"/>
      <c r="B290" s="153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154"/>
    </row>
    <row r="291" spans="1:16" ht="15.75" customHeight="1">
      <c r="A291" s="152"/>
      <c r="B291" s="153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154"/>
    </row>
    <row r="292" spans="1:16" ht="15.75" customHeight="1">
      <c r="A292" s="152"/>
      <c r="B292" s="153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154"/>
    </row>
    <row r="293" spans="1:16" ht="15.75" customHeight="1">
      <c r="A293" s="152"/>
      <c r="B293" s="153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154"/>
    </row>
    <row r="294" spans="1:16" ht="15.75" customHeight="1">
      <c r="A294" s="152"/>
      <c r="B294" s="153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154"/>
    </row>
    <row r="295" spans="1:16" ht="15.75" customHeight="1">
      <c r="A295" s="152"/>
      <c r="B295" s="153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154"/>
    </row>
    <row r="296" spans="1:16" ht="15.75" customHeight="1">
      <c r="A296" s="152"/>
      <c r="B296" s="153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154"/>
    </row>
    <row r="297" spans="1:16" ht="15.75" customHeight="1">
      <c r="A297" s="152"/>
      <c r="B297" s="153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154"/>
    </row>
    <row r="298" spans="1:16" ht="15.75" customHeight="1">
      <c r="A298" s="152"/>
      <c r="B298" s="153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154"/>
    </row>
    <row r="299" spans="1:16" ht="15.75" customHeight="1">
      <c r="A299" s="152"/>
      <c r="B299" s="153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154"/>
    </row>
    <row r="300" spans="1:16" ht="15.75" customHeight="1">
      <c r="A300" s="152"/>
      <c r="B300" s="153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154"/>
    </row>
    <row r="301" spans="1:16" ht="15.75" customHeight="1">
      <c r="A301" s="152"/>
      <c r="B301" s="153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154"/>
    </row>
    <row r="302" spans="1:16" ht="15.75" customHeight="1">
      <c r="A302" s="152"/>
      <c r="B302" s="153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154"/>
    </row>
    <row r="303" spans="1:16" ht="15.75" customHeight="1">
      <c r="A303" s="152"/>
      <c r="B303" s="153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154"/>
    </row>
    <row r="304" spans="1:16" ht="15.75" customHeight="1">
      <c r="A304" s="152"/>
      <c r="B304" s="153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154"/>
    </row>
    <row r="305" spans="1:16" ht="15.75" customHeight="1">
      <c r="A305" s="152"/>
      <c r="B305" s="153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154"/>
    </row>
    <row r="306" spans="1:16" ht="15.75" customHeight="1">
      <c r="A306" s="152"/>
      <c r="B306" s="153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154"/>
    </row>
    <row r="307" spans="1:16" ht="15.75" customHeight="1">
      <c r="A307" s="152"/>
      <c r="B307" s="153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154"/>
    </row>
    <row r="308" spans="1:16" ht="15.75" customHeight="1">
      <c r="A308" s="152"/>
      <c r="B308" s="153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154"/>
    </row>
    <row r="309" spans="1:16" ht="15.75" customHeight="1">
      <c r="A309" s="152"/>
      <c r="B309" s="153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154"/>
    </row>
    <row r="310" spans="1:16" ht="15.75" customHeight="1">
      <c r="A310" s="152"/>
      <c r="B310" s="153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154"/>
    </row>
    <row r="311" spans="1:16" ht="15.75" customHeight="1">
      <c r="A311" s="152"/>
      <c r="B311" s="153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154"/>
    </row>
    <row r="312" spans="1:16" ht="15.75" customHeight="1">
      <c r="A312" s="152"/>
      <c r="B312" s="153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154"/>
    </row>
    <row r="313" spans="1:16" ht="15.75" customHeight="1">
      <c r="A313" s="152"/>
      <c r="B313" s="153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154"/>
    </row>
    <row r="314" spans="1:16" ht="15.75" customHeight="1">
      <c r="A314" s="152"/>
      <c r="B314" s="153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154"/>
    </row>
    <row r="315" spans="1:16" ht="15.75" customHeight="1">
      <c r="A315" s="152"/>
      <c r="B315" s="153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154"/>
    </row>
    <row r="316" spans="1:16" ht="15.75" customHeight="1">
      <c r="A316" s="152"/>
      <c r="B316" s="153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154"/>
    </row>
    <row r="317" spans="1:16" ht="15.75" customHeight="1">
      <c r="A317" s="152"/>
      <c r="B317" s="153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154"/>
    </row>
    <row r="318" spans="1:16" ht="15.75" customHeight="1">
      <c r="A318" s="152"/>
      <c r="B318" s="153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154"/>
    </row>
    <row r="319" spans="1:16" ht="15.75" customHeight="1">
      <c r="A319" s="152"/>
      <c r="B319" s="153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154"/>
    </row>
    <row r="320" spans="1:16" ht="15.75" customHeight="1">
      <c r="A320" s="152"/>
      <c r="B320" s="153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154"/>
    </row>
    <row r="321" spans="1:16" ht="15.75" customHeight="1">
      <c r="A321" s="152"/>
      <c r="B321" s="153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154"/>
    </row>
    <row r="322" spans="1:16" ht="15.75" customHeight="1">
      <c r="A322" s="152"/>
      <c r="B322" s="153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154"/>
    </row>
    <row r="323" spans="1:16" ht="15.75" customHeight="1">
      <c r="A323" s="152"/>
      <c r="B323" s="153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154"/>
    </row>
    <row r="324" spans="1:16" ht="15.75" customHeight="1">
      <c r="A324" s="152"/>
      <c r="B324" s="153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154"/>
    </row>
    <row r="325" spans="1:16" ht="15.75" customHeight="1">
      <c r="A325" s="152"/>
      <c r="B325" s="153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154"/>
    </row>
    <row r="326" spans="1:16" ht="15.75" customHeight="1">
      <c r="A326" s="152"/>
      <c r="B326" s="153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154"/>
    </row>
    <row r="327" spans="1:16" ht="15.75" customHeight="1">
      <c r="A327" s="152"/>
      <c r="B327" s="153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154"/>
    </row>
    <row r="328" spans="1:16" ht="15.75" customHeight="1">
      <c r="A328" s="152"/>
      <c r="B328" s="153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154"/>
    </row>
    <row r="329" spans="1:16" ht="15.75" customHeight="1">
      <c r="A329" s="152"/>
      <c r="B329" s="153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154"/>
    </row>
    <row r="330" spans="1:16" ht="15.75" customHeight="1">
      <c r="A330" s="152"/>
      <c r="B330" s="153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154"/>
    </row>
    <row r="331" spans="1:16" ht="15.75" customHeight="1">
      <c r="A331" s="152"/>
      <c r="B331" s="153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154"/>
    </row>
    <row r="332" spans="1:16" ht="15.75" customHeight="1">
      <c r="A332" s="152"/>
      <c r="B332" s="153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154"/>
    </row>
    <row r="333" spans="1:16" ht="15.75" customHeight="1">
      <c r="A333" s="152"/>
      <c r="B333" s="153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154"/>
    </row>
    <row r="334" spans="1:16" ht="15.75" customHeight="1">
      <c r="A334" s="152"/>
      <c r="B334" s="153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154"/>
    </row>
    <row r="335" spans="1:16" ht="15.75" customHeight="1">
      <c r="A335" s="152"/>
      <c r="B335" s="153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154"/>
    </row>
    <row r="336" spans="1:16" ht="15.75" customHeight="1">
      <c r="A336" s="152"/>
      <c r="B336" s="153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154"/>
    </row>
    <row r="337" spans="1:16" ht="15.75" customHeight="1">
      <c r="A337" s="152"/>
      <c r="B337" s="153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154"/>
    </row>
    <row r="338" spans="1:16" ht="15.75" customHeight="1">
      <c r="A338" s="152"/>
      <c r="B338" s="153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154"/>
    </row>
    <row r="339" spans="1:16" ht="15.75" customHeight="1">
      <c r="A339" s="152"/>
      <c r="B339" s="153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154"/>
    </row>
    <row r="340" spans="1:16" ht="15.75" customHeight="1">
      <c r="A340" s="152"/>
      <c r="B340" s="153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154"/>
    </row>
    <row r="341" spans="1:16" ht="15.75" customHeight="1">
      <c r="A341" s="152"/>
      <c r="B341" s="153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154"/>
    </row>
    <row r="342" spans="1:16" ht="15.75" customHeight="1">
      <c r="A342" s="152"/>
      <c r="B342" s="153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154"/>
    </row>
    <row r="343" spans="1:16" ht="15.75" customHeight="1">
      <c r="A343" s="152"/>
      <c r="B343" s="153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154"/>
    </row>
    <row r="344" spans="1:16" ht="15.75" customHeight="1">
      <c r="A344" s="152"/>
      <c r="B344" s="153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154"/>
    </row>
    <row r="345" spans="1:16" ht="15.75" customHeight="1">
      <c r="A345" s="152"/>
      <c r="B345" s="153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154"/>
    </row>
    <row r="346" spans="1:16" ht="15.75" customHeight="1">
      <c r="A346" s="152"/>
      <c r="B346" s="153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154"/>
    </row>
    <row r="347" spans="1:16" ht="15.75" customHeight="1">
      <c r="A347" s="152"/>
      <c r="B347" s="153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154"/>
    </row>
    <row r="348" spans="1:16" ht="15.75" customHeight="1">
      <c r="A348" s="152"/>
      <c r="B348" s="153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154"/>
    </row>
    <row r="349" spans="1:16" ht="15.75" customHeight="1">
      <c r="A349" s="152"/>
      <c r="B349" s="153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154"/>
    </row>
    <row r="350" spans="1:16" ht="15.75" customHeight="1">
      <c r="A350" s="152"/>
      <c r="B350" s="153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154"/>
    </row>
    <row r="351" spans="1:16" ht="15.75" customHeight="1">
      <c r="A351" s="152"/>
      <c r="B351" s="153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154"/>
    </row>
    <row r="352" spans="1:16" ht="15.75" customHeight="1">
      <c r="A352" s="152"/>
      <c r="B352" s="153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154"/>
    </row>
    <row r="353" spans="1:16" ht="15.75" customHeight="1">
      <c r="A353" s="152"/>
      <c r="B353" s="153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154"/>
    </row>
    <row r="354" spans="1:16" ht="15.75" customHeight="1">
      <c r="A354" s="152"/>
      <c r="B354" s="153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154"/>
    </row>
    <row r="355" spans="1:16" ht="15.75" customHeight="1">
      <c r="A355" s="152"/>
      <c r="B355" s="153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154"/>
    </row>
    <row r="356" spans="1:16" ht="15.75" customHeight="1">
      <c r="A356" s="152"/>
      <c r="B356" s="153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154"/>
    </row>
    <row r="357" spans="1:16" ht="15.75" customHeight="1">
      <c r="A357" s="152"/>
      <c r="B357" s="153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154"/>
    </row>
    <row r="358" spans="1:16" ht="15.75" customHeight="1">
      <c r="A358" s="152"/>
      <c r="B358" s="153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154"/>
    </row>
    <row r="359" spans="1:16" ht="15.75" customHeight="1">
      <c r="A359" s="152"/>
      <c r="B359" s="153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154"/>
    </row>
    <row r="360" spans="1:16" ht="15.75" customHeight="1">
      <c r="A360" s="152"/>
      <c r="B360" s="153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154"/>
    </row>
    <row r="361" spans="1:16" ht="15.75" customHeight="1">
      <c r="A361" s="152"/>
      <c r="B361" s="153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154"/>
    </row>
    <row r="362" spans="1:16" ht="15.75" customHeight="1">
      <c r="A362" s="152"/>
      <c r="B362" s="153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154"/>
    </row>
    <row r="363" spans="1:16" ht="15.75" customHeight="1">
      <c r="A363" s="152"/>
      <c r="B363" s="153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154"/>
    </row>
    <row r="364" spans="1:16" ht="15.75" customHeight="1">
      <c r="A364" s="152"/>
      <c r="B364" s="153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154"/>
    </row>
    <row r="365" spans="1:16" ht="15.75" customHeight="1">
      <c r="A365" s="152"/>
      <c r="B365" s="153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154"/>
    </row>
    <row r="366" spans="1:16" ht="15.75" customHeight="1">
      <c r="A366" s="152"/>
      <c r="B366" s="153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154"/>
    </row>
    <row r="367" spans="1:16" ht="15.75" customHeight="1">
      <c r="A367" s="152"/>
      <c r="B367" s="153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154"/>
    </row>
    <row r="368" spans="1:16" ht="15.75" customHeight="1">
      <c r="A368" s="152"/>
      <c r="B368" s="153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154"/>
    </row>
    <row r="369" spans="1:16" ht="15.75" customHeight="1">
      <c r="A369" s="152"/>
      <c r="B369" s="153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154"/>
    </row>
    <row r="370" spans="1:16" ht="15.75" customHeight="1">
      <c r="A370" s="152"/>
      <c r="B370" s="153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154"/>
    </row>
    <row r="371" spans="1:16" ht="15.75" customHeight="1">
      <c r="A371" s="152"/>
      <c r="B371" s="153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154"/>
    </row>
    <row r="372" spans="1:16" ht="15.75" customHeight="1">
      <c r="A372" s="152"/>
      <c r="B372" s="153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154"/>
    </row>
    <row r="373" spans="1:16" ht="15.75" customHeight="1">
      <c r="A373" s="152"/>
      <c r="B373" s="153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154"/>
    </row>
    <row r="374" spans="1:16" ht="15.75" customHeight="1">
      <c r="A374" s="152"/>
      <c r="B374" s="153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154"/>
    </row>
    <row r="375" spans="1:16" ht="15.75" customHeight="1">
      <c r="A375" s="152"/>
      <c r="B375" s="153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154"/>
    </row>
    <row r="376" spans="1:16" ht="15.75" customHeight="1">
      <c r="A376" s="152"/>
      <c r="B376" s="153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154"/>
    </row>
    <row r="377" spans="1:16" ht="15.75" customHeight="1">
      <c r="A377" s="152"/>
      <c r="B377" s="153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154"/>
    </row>
    <row r="378" spans="1:16" ht="15.75" customHeight="1">
      <c r="A378" s="152"/>
      <c r="B378" s="153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154"/>
    </row>
    <row r="379" spans="1:16" ht="15.75" customHeight="1">
      <c r="A379" s="152"/>
      <c r="B379" s="153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154"/>
    </row>
    <row r="380" spans="1:16" ht="15.75" customHeight="1">
      <c r="A380" s="152"/>
      <c r="B380" s="153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154"/>
    </row>
    <row r="381" spans="1:16" ht="15.75" customHeight="1">
      <c r="A381" s="152"/>
      <c r="B381" s="153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154"/>
    </row>
    <row r="382" spans="1:16" ht="15.75" customHeight="1">
      <c r="A382" s="152"/>
      <c r="B382" s="153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154"/>
    </row>
    <row r="383" spans="1:16" ht="15.75" customHeight="1">
      <c r="A383" s="152"/>
      <c r="B383" s="153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154"/>
    </row>
    <row r="384" spans="1:16" ht="15.75" customHeight="1">
      <c r="A384" s="152"/>
      <c r="B384" s="153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154"/>
    </row>
    <row r="385" spans="1:16" ht="15.75" customHeight="1">
      <c r="A385" s="152"/>
      <c r="B385" s="153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154"/>
    </row>
    <row r="386" spans="1:16" ht="15.75" customHeight="1">
      <c r="A386" s="152"/>
      <c r="B386" s="153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154"/>
    </row>
    <row r="387" spans="1:16" ht="15.75" customHeight="1">
      <c r="A387" s="152"/>
      <c r="B387" s="153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154"/>
    </row>
    <row r="388" spans="1:16" ht="15.75" customHeight="1">
      <c r="A388" s="152"/>
      <c r="B388" s="153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154"/>
    </row>
    <row r="389" spans="1:16" ht="15.75" customHeight="1">
      <c r="A389" s="152"/>
      <c r="B389" s="153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154"/>
    </row>
    <row r="390" spans="1:16" ht="15.75" customHeight="1">
      <c r="A390" s="152"/>
      <c r="B390" s="153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154"/>
    </row>
    <row r="391" spans="1:16" ht="15.75" customHeight="1">
      <c r="A391" s="152"/>
      <c r="B391" s="153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154"/>
    </row>
    <row r="392" spans="1:16" ht="15.75" customHeight="1">
      <c r="A392" s="152"/>
      <c r="B392" s="153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154"/>
    </row>
    <row r="393" spans="1:16" ht="15.75" customHeight="1">
      <c r="A393" s="152"/>
      <c r="B393" s="153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154"/>
    </row>
    <row r="394" spans="1:16" ht="15.75" customHeight="1">
      <c r="A394" s="152"/>
      <c r="B394" s="153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154"/>
    </row>
    <row r="395" spans="1:16" ht="15.75" customHeight="1">
      <c r="A395" s="152"/>
      <c r="B395" s="153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154"/>
    </row>
    <row r="396" spans="1:16" ht="15.75" customHeight="1">
      <c r="A396" s="152"/>
      <c r="B396" s="153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154"/>
    </row>
    <row r="397" spans="1:16" ht="15.75" customHeight="1">
      <c r="A397" s="152"/>
      <c r="B397" s="153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154"/>
    </row>
    <row r="398" spans="1:16" ht="15.75" customHeight="1">
      <c r="A398" s="152"/>
      <c r="B398" s="153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154"/>
    </row>
    <row r="399" spans="1:16" ht="15.75" customHeight="1">
      <c r="A399" s="152"/>
      <c r="B399" s="153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154"/>
    </row>
    <row r="400" spans="1:16" ht="15.75" customHeight="1">
      <c r="A400" s="152"/>
      <c r="B400" s="153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154"/>
    </row>
    <row r="401" spans="1:16" ht="15.75" customHeight="1">
      <c r="A401" s="152"/>
      <c r="B401" s="153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154"/>
    </row>
    <row r="402" spans="1:16" ht="15.75" customHeight="1">
      <c r="A402" s="152"/>
      <c r="B402" s="153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154"/>
    </row>
    <row r="403" spans="1:16" ht="15.75" customHeight="1">
      <c r="A403" s="152"/>
      <c r="B403" s="153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154"/>
    </row>
    <row r="404" spans="1:16" ht="15.75" customHeight="1">
      <c r="A404" s="152"/>
      <c r="B404" s="153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154"/>
    </row>
    <row r="405" spans="1:16" ht="15.75" customHeight="1">
      <c r="A405" s="152"/>
      <c r="B405" s="153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154"/>
    </row>
    <row r="406" spans="1:16" ht="15.75" customHeight="1">
      <c r="A406" s="152"/>
      <c r="B406" s="153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154"/>
    </row>
    <row r="407" spans="1:16" ht="15.75" customHeight="1">
      <c r="A407" s="152"/>
      <c r="B407" s="153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154"/>
    </row>
    <row r="408" spans="1:16" ht="15.75" customHeight="1">
      <c r="A408" s="152"/>
      <c r="B408" s="153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154"/>
    </row>
    <row r="409" spans="1:16" ht="15.75" customHeight="1">
      <c r="A409" s="152"/>
      <c r="B409" s="153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154"/>
    </row>
    <row r="410" spans="1:16" ht="15.75" customHeight="1">
      <c r="A410" s="152"/>
      <c r="B410" s="153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154"/>
    </row>
    <row r="411" spans="1:16" ht="15.75" customHeight="1">
      <c r="A411" s="152"/>
      <c r="B411" s="153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154"/>
    </row>
    <row r="412" spans="1:16" ht="15.75" customHeight="1">
      <c r="A412" s="152"/>
      <c r="B412" s="153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154"/>
    </row>
    <row r="413" spans="1:16" ht="15.75" customHeight="1">
      <c r="A413" s="152"/>
      <c r="B413" s="153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154"/>
    </row>
    <row r="414" spans="1:16" ht="15.75" customHeight="1">
      <c r="A414" s="152"/>
      <c r="B414" s="153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154"/>
    </row>
    <row r="415" spans="1:16" ht="15.75" customHeight="1">
      <c r="A415" s="152"/>
      <c r="B415" s="153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154"/>
    </row>
    <row r="416" spans="1:16" ht="15.75" customHeight="1">
      <c r="A416" s="152"/>
      <c r="B416" s="153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154"/>
    </row>
    <row r="417" spans="1:16" ht="15.75" customHeight="1">
      <c r="A417" s="152"/>
      <c r="B417" s="153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154"/>
    </row>
    <row r="418" spans="1:16" ht="15.75" customHeight="1">
      <c r="A418" s="152"/>
      <c r="B418" s="153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154"/>
    </row>
    <row r="419" spans="1:16" ht="15.75" customHeight="1">
      <c r="A419" s="152"/>
      <c r="B419" s="153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154"/>
    </row>
    <row r="420" spans="1:16" ht="15.75" customHeight="1">
      <c r="A420" s="152"/>
      <c r="B420" s="153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154"/>
    </row>
    <row r="421" spans="1:16" ht="15.75" customHeight="1">
      <c r="A421" s="152"/>
      <c r="B421" s="153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154"/>
    </row>
    <row r="422" spans="1:16" ht="15.75" customHeight="1">
      <c r="A422" s="152"/>
      <c r="B422" s="153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154"/>
    </row>
    <row r="423" spans="1:16" ht="15.75" customHeight="1">
      <c r="A423" s="152"/>
      <c r="B423" s="153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154"/>
    </row>
    <row r="424" spans="1:16" ht="15.75" customHeight="1">
      <c r="A424" s="152"/>
      <c r="B424" s="153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154"/>
    </row>
    <row r="425" spans="1:16" ht="15.75" customHeight="1">
      <c r="A425" s="152"/>
      <c r="B425" s="153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154"/>
    </row>
    <row r="426" spans="1:16" ht="15.75" customHeight="1">
      <c r="A426" s="152"/>
      <c r="B426" s="153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154"/>
    </row>
    <row r="427" spans="1:16" ht="15.75" customHeight="1">
      <c r="A427" s="152"/>
      <c r="B427" s="153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154"/>
    </row>
    <row r="428" spans="1:16" ht="15.75" customHeight="1">
      <c r="A428" s="152"/>
      <c r="B428" s="153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154"/>
    </row>
    <row r="429" spans="1:16" ht="15.75" customHeight="1">
      <c r="A429" s="152"/>
      <c r="B429" s="153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154"/>
    </row>
    <row r="430" spans="1:16" ht="15.75" customHeight="1">
      <c r="A430" s="152"/>
      <c r="B430" s="153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154"/>
    </row>
    <row r="431" spans="1:16" ht="15.75" customHeight="1">
      <c r="A431" s="152"/>
      <c r="B431" s="153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154"/>
    </row>
    <row r="432" spans="1:16" ht="15.75" customHeight="1">
      <c r="A432" s="152"/>
      <c r="B432" s="153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154"/>
    </row>
    <row r="433" spans="1:16" ht="15.75" customHeight="1">
      <c r="A433" s="152"/>
      <c r="B433" s="153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154"/>
    </row>
    <row r="434" spans="1:16" ht="15.75" customHeight="1">
      <c r="A434" s="152"/>
      <c r="B434" s="153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154"/>
    </row>
    <row r="435" spans="1:16" ht="15.75" customHeight="1">
      <c r="A435" s="152"/>
      <c r="B435" s="153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154"/>
    </row>
    <row r="436" spans="1:16" ht="15.75" customHeight="1">
      <c r="A436" s="152"/>
      <c r="B436" s="153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154"/>
    </row>
    <row r="437" spans="1:16" ht="15.75" customHeight="1">
      <c r="A437" s="152"/>
      <c r="B437" s="153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154"/>
    </row>
    <row r="438" spans="1:16" ht="15.75" customHeight="1">
      <c r="A438" s="152"/>
      <c r="B438" s="153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154"/>
    </row>
    <row r="439" spans="1:16" ht="15.75" customHeight="1">
      <c r="A439" s="152"/>
      <c r="B439" s="153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154"/>
    </row>
    <row r="440" spans="1:16" ht="15.75" customHeight="1">
      <c r="A440" s="152"/>
      <c r="B440" s="153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154"/>
    </row>
    <row r="441" spans="1:16" ht="15.75" customHeight="1">
      <c r="A441" s="152"/>
      <c r="B441" s="153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154"/>
    </row>
    <row r="442" spans="1:16" ht="15.75" customHeight="1">
      <c r="A442" s="152"/>
      <c r="B442" s="153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154"/>
    </row>
    <row r="443" spans="1:16" ht="15.75" customHeight="1">
      <c r="A443" s="152"/>
      <c r="B443" s="153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154"/>
    </row>
    <row r="444" spans="1:16" ht="15.75" customHeight="1">
      <c r="A444" s="152"/>
      <c r="B444" s="153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154"/>
    </row>
    <row r="445" spans="1:16" ht="15.75" customHeight="1">
      <c r="A445" s="152"/>
      <c r="B445" s="153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154"/>
    </row>
    <row r="446" spans="1:16" ht="15.75" customHeight="1">
      <c r="A446" s="152"/>
      <c r="B446" s="153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154"/>
    </row>
    <row r="447" spans="1:16" ht="15.75" customHeight="1">
      <c r="A447" s="152"/>
      <c r="B447" s="153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154"/>
    </row>
    <row r="448" spans="1:16" ht="15.75" customHeight="1">
      <c r="A448" s="152"/>
      <c r="B448" s="153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154"/>
    </row>
    <row r="449" spans="1:16" ht="15.75" customHeight="1">
      <c r="A449" s="152"/>
      <c r="B449" s="153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154"/>
    </row>
    <row r="450" spans="1:16" ht="15.75" customHeight="1">
      <c r="A450" s="152"/>
      <c r="B450" s="153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154"/>
    </row>
    <row r="451" spans="1:16" ht="15.75" customHeight="1">
      <c r="A451" s="152"/>
      <c r="B451" s="153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154"/>
    </row>
    <row r="452" spans="1:16" ht="15.75" customHeight="1">
      <c r="A452" s="152"/>
      <c r="B452" s="153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154"/>
    </row>
    <row r="453" spans="1:16" ht="15.75" customHeight="1">
      <c r="A453" s="152"/>
      <c r="B453" s="153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154"/>
    </row>
    <row r="454" spans="1:16" ht="15.75" customHeight="1">
      <c r="A454" s="152"/>
      <c r="B454" s="153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154"/>
    </row>
    <row r="455" spans="1:16" ht="15.75" customHeight="1">
      <c r="A455" s="152"/>
      <c r="B455" s="153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154"/>
    </row>
    <row r="456" spans="1:16" ht="15.75" customHeight="1">
      <c r="A456" s="152"/>
      <c r="B456" s="153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154"/>
    </row>
    <row r="457" spans="1:16" ht="15.75" customHeight="1">
      <c r="A457" s="152"/>
      <c r="B457" s="153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154"/>
    </row>
    <row r="458" spans="1:16" ht="15.75" customHeight="1">
      <c r="A458" s="152"/>
      <c r="B458" s="153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154"/>
    </row>
    <row r="459" spans="1:16" ht="15.75" customHeight="1">
      <c r="A459" s="152"/>
      <c r="B459" s="153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154"/>
    </row>
    <row r="460" spans="1:16" ht="15.75" customHeight="1">
      <c r="A460" s="152"/>
      <c r="B460" s="153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154"/>
    </row>
    <row r="461" spans="1:16" ht="15.75" customHeight="1">
      <c r="A461" s="152"/>
      <c r="B461" s="153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154"/>
    </row>
    <row r="462" spans="1:16" ht="15.75" customHeight="1">
      <c r="A462" s="152"/>
      <c r="B462" s="153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154"/>
    </row>
    <row r="463" spans="1:16" ht="15.75" customHeight="1">
      <c r="A463" s="152"/>
      <c r="B463" s="153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154"/>
    </row>
    <row r="464" spans="1:16" ht="15.75" customHeight="1">
      <c r="A464" s="152"/>
      <c r="B464" s="153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154"/>
    </row>
    <row r="465" spans="1:16" ht="15.75" customHeight="1">
      <c r="A465" s="152"/>
      <c r="B465" s="153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154"/>
    </row>
    <row r="466" spans="1:16" ht="15.75" customHeight="1">
      <c r="A466" s="152"/>
      <c r="B466" s="153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154"/>
    </row>
    <row r="467" spans="1:16" ht="15.75" customHeight="1">
      <c r="A467" s="152"/>
      <c r="B467" s="153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154"/>
    </row>
    <row r="468" spans="1:16" ht="15.75" customHeight="1">
      <c r="A468" s="152"/>
      <c r="B468" s="153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154"/>
    </row>
    <row r="469" spans="1:16" ht="15.75" customHeight="1">
      <c r="A469" s="152"/>
      <c r="B469" s="153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154"/>
    </row>
    <row r="470" spans="1:16" ht="15.75" customHeight="1">
      <c r="A470" s="152"/>
      <c r="B470" s="153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154"/>
    </row>
    <row r="471" spans="1:16" ht="15.75" customHeight="1">
      <c r="A471" s="152"/>
      <c r="B471" s="153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154"/>
    </row>
    <row r="472" spans="1:16" ht="15.75" customHeight="1">
      <c r="A472" s="152"/>
      <c r="B472" s="153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154"/>
    </row>
    <row r="473" spans="1:16" ht="15.75" customHeight="1">
      <c r="A473" s="152"/>
      <c r="B473" s="153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154"/>
    </row>
    <row r="474" spans="1:16" ht="15.75" customHeight="1">
      <c r="A474" s="152"/>
      <c r="B474" s="153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154"/>
    </row>
    <row r="475" spans="1:16" ht="15.75" customHeight="1">
      <c r="A475" s="152"/>
      <c r="B475" s="153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154"/>
    </row>
    <row r="476" spans="1:16" ht="15.75" customHeight="1">
      <c r="A476" s="152"/>
      <c r="B476" s="153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154"/>
    </row>
    <row r="477" spans="1:16" ht="15.75" customHeight="1">
      <c r="A477" s="152"/>
      <c r="B477" s="153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154"/>
    </row>
    <row r="478" spans="1:16" ht="15.75" customHeight="1">
      <c r="A478" s="152"/>
      <c r="B478" s="153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154"/>
    </row>
    <row r="479" spans="1:16" ht="15.75" customHeight="1">
      <c r="A479" s="152"/>
      <c r="B479" s="153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154"/>
    </row>
    <row r="480" spans="1:16" ht="15.75" customHeight="1">
      <c r="A480" s="152"/>
      <c r="B480" s="153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154"/>
    </row>
    <row r="481" spans="1:16" ht="15.75" customHeight="1">
      <c r="A481" s="152"/>
      <c r="B481" s="153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154"/>
    </row>
    <row r="482" spans="1:16" ht="15.75" customHeight="1">
      <c r="A482" s="152"/>
      <c r="B482" s="153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154"/>
    </row>
    <row r="483" spans="1:16" ht="15.75" customHeight="1">
      <c r="A483" s="152"/>
      <c r="B483" s="153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154"/>
    </row>
    <row r="484" spans="1:16" ht="15.75" customHeight="1">
      <c r="A484" s="152"/>
      <c r="B484" s="153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154"/>
    </row>
    <row r="485" spans="1:16" ht="15.75" customHeight="1">
      <c r="A485" s="152"/>
      <c r="B485" s="153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154"/>
    </row>
    <row r="486" spans="1:16" ht="15.75" customHeight="1">
      <c r="A486" s="152"/>
      <c r="B486" s="153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154"/>
    </row>
    <row r="487" spans="1:16" ht="15.75" customHeight="1">
      <c r="A487" s="152"/>
      <c r="B487" s="153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154"/>
    </row>
    <row r="488" spans="1:16" ht="15.75" customHeight="1">
      <c r="A488" s="152"/>
      <c r="B488" s="153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154"/>
    </row>
    <row r="489" spans="1:16" ht="15.75" customHeight="1">
      <c r="A489" s="152"/>
      <c r="B489" s="153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154"/>
    </row>
    <row r="490" spans="1:16" ht="15.75" customHeight="1">
      <c r="A490" s="152"/>
      <c r="B490" s="153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154"/>
    </row>
    <row r="491" spans="1:16" ht="15.75" customHeight="1">
      <c r="A491" s="152"/>
      <c r="B491" s="153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154"/>
    </row>
    <row r="492" spans="1:16" ht="15.75" customHeight="1">
      <c r="A492" s="152"/>
      <c r="B492" s="153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154"/>
    </row>
    <row r="493" spans="1:16" ht="15.75" customHeight="1">
      <c r="A493" s="152"/>
      <c r="B493" s="153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154"/>
    </row>
    <row r="494" spans="1:16" ht="15.75" customHeight="1">
      <c r="A494" s="152"/>
      <c r="B494" s="153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154"/>
    </row>
    <row r="495" spans="1:16" ht="15.75" customHeight="1">
      <c r="A495" s="152"/>
      <c r="B495" s="153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154"/>
    </row>
    <row r="496" spans="1:16" ht="15.75" customHeight="1">
      <c r="A496" s="152"/>
      <c r="B496" s="153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154"/>
    </row>
    <row r="497" spans="1:16" ht="15.75" customHeight="1">
      <c r="A497" s="152"/>
      <c r="B497" s="153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154"/>
    </row>
    <row r="498" spans="1:16" ht="15.75" customHeight="1">
      <c r="A498" s="152"/>
      <c r="B498" s="153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154"/>
    </row>
    <row r="499" spans="1:16" ht="15.75" customHeight="1">
      <c r="A499" s="152"/>
      <c r="B499" s="153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154"/>
    </row>
    <row r="500" spans="1:16" ht="15.75" customHeight="1">
      <c r="A500" s="152"/>
      <c r="B500" s="153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154"/>
    </row>
    <row r="501" spans="1:16" ht="15.75" customHeight="1">
      <c r="A501" s="152"/>
      <c r="B501" s="153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154"/>
    </row>
    <row r="502" spans="1:16" ht="15.75" customHeight="1">
      <c r="A502" s="152"/>
      <c r="B502" s="153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154"/>
    </row>
    <row r="503" spans="1:16" ht="15.75" customHeight="1">
      <c r="A503" s="152"/>
      <c r="B503" s="153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154"/>
    </row>
    <row r="504" spans="1:16" ht="15.75" customHeight="1">
      <c r="A504" s="152"/>
      <c r="B504" s="153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154"/>
    </row>
    <row r="505" spans="1:16" ht="15.75" customHeight="1">
      <c r="A505" s="152"/>
      <c r="B505" s="153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154"/>
    </row>
    <row r="506" spans="1:16" ht="15.75" customHeight="1">
      <c r="A506" s="152"/>
      <c r="B506" s="153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154"/>
    </row>
    <row r="507" spans="1:16" ht="15.75" customHeight="1">
      <c r="A507" s="152"/>
      <c r="B507" s="153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154"/>
    </row>
    <row r="508" spans="1:16" ht="15.75" customHeight="1">
      <c r="A508" s="152"/>
      <c r="B508" s="153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154"/>
    </row>
    <row r="509" spans="1:16" ht="15.75" customHeight="1">
      <c r="A509" s="152"/>
      <c r="B509" s="153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154"/>
    </row>
    <row r="510" spans="1:16" ht="15.75" customHeight="1">
      <c r="A510" s="152"/>
      <c r="B510" s="153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154"/>
    </row>
    <row r="511" spans="1:16" ht="15.75" customHeight="1">
      <c r="A511" s="152"/>
      <c r="B511" s="153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154"/>
    </row>
    <row r="512" spans="1:16" ht="15.75" customHeight="1">
      <c r="A512" s="152"/>
      <c r="B512" s="153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154"/>
    </row>
    <row r="513" spans="1:16" ht="15.75" customHeight="1">
      <c r="A513" s="152"/>
      <c r="B513" s="153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154"/>
    </row>
    <row r="514" spans="1:16" ht="15.75" customHeight="1">
      <c r="A514" s="152"/>
      <c r="B514" s="153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154"/>
    </row>
    <row r="515" spans="1:16" ht="15.75" customHeight="1">
      <c r="A515" s="152"/>
      <c r="B515" s="153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154"/>
    </row>
    <row r="516" spans="1:16" ht="15.75" customHeight="1">
      <c r="A516" s="152"/>
      <c r="B516" s="153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154"/>
    </row>
    <row r="517" spans="1:16" ht="15.75" customHeight="1">
      <c r="A517" s="152"/>
      <c r="B517" s="153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154"/>
    </row>
    <row r="518" spans="1:16" ht="15.75" customHeight="1">
      <c r="A518" s="152"/>
      <c r="B518" s="153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154"/>
    </row>
    <row r="519" spans="1:16" ht="15.75" customHeight="1">
      <c r="A519" s="152"/>
      <c r="B519" s="153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154"/>
    </row>
    <row r="520" spans="1:16" ht="15.75" customHeight="1">
      <c r="A520" s="152"/>
      <c r="B520" s="153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154"/>
    </row>
    <row r="521" spans="1:16" ht="15.75" customHeight="1">
      <c r="A521" s="152"/>
      <c r="B521" s="153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154"/>
    </row>
    <row r="522" spans="1:16" ht="15.75" customHeight="1">
      <c r="A522" s="152"/>
      <c r="B522" s="153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154"/>
    </row>
    <row r="523" spans="1:16" ht="15.75" customHeight="1">
      <c r="A523" s="152"/>
      <c r="B523" s="153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154"/>
    </row>
    <row r="524" spans="1:16" ht="15.75" customHeight="1">
      <c r="A524" s="152"/>
      <c r="B524" s="153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154"/>
    </row>
    <row r="525" spans="1:16" ht="15.75" customHeight="1">
      <c r="A525" s="152"/>
      <c r="B525" s="153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154"/>
    </row>
    <row r="526" spans="1:16" ht="15.75" customHeight="1">
      <c r="A526" s="152"/>
      <c r="B526" s="153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154"/>
    </row>
    <row r="527" spans="1:16" ht="15.75" customHeight="1">
      <c r="A527" s="152"/>
      <c r="B527" s="153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154"/>
    </row>
    <row r="528" spans="1:16" ht="15.75" customHeight="1">
      <c r="A528" s="152"/>
      <c r="B528" s="153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154"/>
    </row>
    <row r="529" spans="1:16" ht="15.75" customHeight="1">
      <c r="A529" s="152"/>
      <c r="B529" s="153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154"/>
    </row>
    <row r="530" spans="1:16" ht="15.75" customHeight="1">
      <c r="A530" s="152"/>
      <c r="B530" s="153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154"/>
    </row>
    <row r="531" spans="1:16" ht="15.75" customHeight="1">
      <c r="A531" s="152"/>
      <c r="B531" s="153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154"/>
    </row>
    <row r="532" spans="1:16" ht="15.75" customHeight="1">
      <c r="A532" s="152"/>
      <c r="B532" s="153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154"/>
    </row>
    <row r="533" spans="1:16" ht="15.75" customHeight="1">
      <c r="A533" s="152"/>
      <c r="B533" s="153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154"/>
    </row>
    <row r="534" spans="1:16" ht="15.75" customHeight="1">
      <c r="A534" s="152"/>
      <c r="B534" s="153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154"/>
    </row>
    <row r="535" spans="1:16" ht="15.75" customHeight="1">
      <c r="A535" s="152"/>
      <c r="B535" s="153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154"/>
    </row>
    <row r="536" spans="1:16" ht="15.75" customHeight="1">
      <c r="A536" s="152"/>
      <c r="B536" s="153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154"/>
    </row>
    <row r="537" spans="1:16" ht="15.75" customHeight="1">
      <c r="A537" s="152"/>
      <c r="B537" s="153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154"/>
    </row>
    <row r="538" spans="1:16" ht="15.75" customHeight="1">
      <c r="A538" s="152"/>
      <c r="B538" s="153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154"/>
    </row>
    <row r="539" spans="1:16" ht="15.75" customHeight="1">
      <c r="A539" s="152"/>
      <c r="B539" s="153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154"/>
    </row>
    <row r="540" spans="1:16" ht="15.75" customHeight="1">
      <c r="A540" s="152"/>
      <c r="B540" s="153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154"/>
    </row>
    <row r="541" spans="1:16" ht="15.75" customHeight="1">
      <c r="A541" s="152"/>
      <c r="B541" s="153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154"/>
    </row>
    <row r="542" spans="1:16" ht="15.75" customHeight="1">
      <c r="A542" s="152"/>
      <c r="B542" s="153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154"/>
    </row>
    <row r="543" spans="1:16" ht="15.75" customHeight="1">
      <c r="A543" s="152"/>
      <c r="B543" s="153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154"/>
    </row>
    <row r="544" spans="1:16" ht="15.75" customHeight="1">
      <c r="A544" s="152"/>
      <c r="B544" s="153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154"/>
    </row>
    <row r="545" spans="1:16" ht="15.75" customHeight="1">
      <c r="A545" s="152"/>
      <c r="B545" s="153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154"/>
    </row>
    <row r="546" spans="1:16" ht="15.75" customHeight="1">
      <c r="A546" s="152"/>
      <c r="B546" s="153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154"/>
    </row>
    <row r="547" spans="1:16" ht="15.75" customHeight="1">
      <c r="A547" s="152"/>
      <c r="B547" s="153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154"/>
    </row>
    <row r="548" spans="1:16" ht="15.75" customHeight="1">
      <c r="A548" s="152"/>
      <c r="B548" s="153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154"/>
    </row>
    <row r="549" spans="1:16" ht="15.75" customHeight="1">
      <c r="A549" s="152"/>
      <c r="B549" s="153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154"/>
    </row>
    <row r="550" spans="1:16" ht="15.75" customHeight="1">
      <c r="A550" s="152"/>
      <c r="B550" s="153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154"/>
    </row>
    <row r="551" spans="1:16" ht="15.75" customHeight="1">
      <c r="A551" s="152"/>
      <c r="B551" s="153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154"/>
    </row>
    <row r="552" spans="1:16" ht="15.75" customHeight="1">
      <c r="A552" s="152"/>
      <c r="B552" s="153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154"/>
    </row>
    <row r="553" spans="1:16" ht="15.75" customHeight="1">
      <c r="A553" s="152"/>
      <c r="B553" s="153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154"/>
    </row>
    <row r="554" spans="1:16" ht="15.75" customHeight="1">
      <c r="A554" s="152"/>
      <c r="B554" s="153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154"/>
    </row>
    <row r="555" spans="1:16" ht="15.75" customHeight="1">
      <c r="A555" s="152"/>
      <c r="B555" s="153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154"/>
    </row>
    <row r="556" spans="1:16" ht="15.75" customHeight="1">
      <c r="A556" s="152"/>
      <c r="B556" s="153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154"/>
    </row>
    <row r="557" spans="1:16" ht="15.75" customHeight="1">
      <c r="A557" s="152"/>
      <c r="B557" s="153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154"/>
    </row>
    <row r="558" spans="1:16" ht="15.75" customHeight="1">
      <c r="A558" s="152"/>
      <c r="B558" s="153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154"/>
    </row>
    <row r="559" spans="1:16" ht="15.75" customHeight="1">
      <c r="A559" s="152"/>
      <c r="B559" s="153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154"/>
    </row>
    <row r="560" spans="1:16" ht="15.75" customHeight="1">
      <c r="A560" s="152"/>
      <c r="B560" s="153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154"/>
    </row>
    <row r="561" spans="1:16" ht="15.75" customHeight="1">
      <c r="A561" s="152"/>
      <c r="B561" s="153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154"/>
    </row>
    <row r="562" spans="1:16" ht="15.75" customHeight="1">
      <c r="A562" s="152"/>
      <c r="B562" s="153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154"/>
    </row>
    <row r="563" spans="1:16" ht="15.75" customHeight="1">
      <c r="A563" s="152"/>
      <c r="B563" s="153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154"/>
    </row>
    <row r="564" spans="1:16" ht="15.75" customHeight="1">
      <c r="A564" s="152"/>
      <c r="B564" s="153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154"/>
    </row>
    <row r="565" spans="1:16" ht="15.75" customHeight="1">
      <c r="A565" s="152"/>
      <c r="B565" s="153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154"/>
    </row>
    <row r="566" spans="1:16" ht="15.75" customHeight="1">
      <c r="A566" s="152"/>
      <c r="B566" s="153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154"/>
    </row>
    <row r="567" spans="1:16" ht="15.75" customHeight="1">
      <c r="A567" s="152"/>
      <c r="B567" s="153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154"/>
    </row>
    <row r="568" spans="1:16" ht="15.75" customHeight="1">
      <c r="A568" s="152"/>
      <c r="B568" s="153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154"/>
    </row>
    <row r="569" spans="1:16" ht="15.75" customHeight="1">
      <c r="A569" s="152"/>
      <c r="B569" s="153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154"/>
    </row>
    <row r="570" spans="1:16" ht="15.75" customHeight="1">
      <c r="A570" s="152"/>
      <c r="B570" s="153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154"/>
    </row>
    <row r="571" spans="1:16" ht="15.75" customHeight="1">
      <c r="A571" s="152"/>
      <c r="B571" s="153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154"/>
    </row>
    <row r="572" spans="1:16" ht="15.75" customHeight="1">
      <c r="A572" s="152"/>
      <c r="B572" s="153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154"/>
    </row>
    <row r="573" spans="1:16" ht="15.75" customHeight="1">
      <c r="A573" s="152"/>
      <c r="B573" s="153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154"/>
    </row>
    <row r="574" spans="1:16" ht="15.75" customHeight="1">
      <c r="A574" s="152"/>
      <c r="B574" s="153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154"/>
    </row>
    <row r="575" spans="1:16" ht="15.75" customHeight="1">
      <c r="A575" s="152"/>
      <c r="B575" s="153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154"/>
    </row>
    <row r="576" spans="1:16" ht="15.75" customHeight="1">
      <c r="A576" s="152"/>
      <c r="B576" s="153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154"/>
    </row>
    <row r="577" spans="1:16" ht="15.75" customHeight="1">
      <c r="A577" s="152"/>
      <c r="B577" s="153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154"/>
    </row>
    <row r="578" spans="1:16" ht="15.75" customHeight="1">
      <c r="A578" s="152"/>
      <c r="B578" s="153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154"/>
    </row>
    <row r="579" spans="1:16" ht="15.75" customHeight="1">
      <c r="A579" s="152"/>
      <c r="B579" s="153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154"/>
    </row>
    <row r="580" spans="1:16" ht="15.75" customHeight="1">
      <c r="A580" s="152"/>
      <c r="B580" s="153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154"/>
    </row>
    <row r="581" spans="1:16" ht="15.75" customHeight="1">
      <c r="A581" s="152"/>
      <c r="B581" s="153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154"/>
    </row>
    <row r="582" spans="1:16" ht="15.75" customHeight="1">
      <c r="A582" s="152"/>
      <c r="B582" s="153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154"/>
    </row>
    <row r="583" spans="1:16" ht="15.75" customHeight="1">
      <c r="A583" s="152"/>
      <c r="B583" s="153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154"/>
    </row>
    <row r="584" spans="1:16" ht="15.75" customHeight="1">
      <c r="A584" s="152"/>
      <c r="B584" s="153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154"/>
    </row>
    <row r="585" spans="1:16" ht="15.75" customHeight="1">
      <c r="A585" s="152"/>
      <c r="B585" s="153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154"/>
    </row>
    <row r="586" spans="1:16" ht="15.75" customHeight="1">
      <c r="A586" s="152"/>
      <c r="B586" s="153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154"/>
    </row>
    <row r="587" spans="1:16" ht="15.75" customHeight="1">
      <c r="A587" s="152"/>
      <c r="B587" s="153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154"/>
    </row>
    <row r="588" spans="1:16" ht="15.75" customHeight="1">
      <c r="A588" s="152"/>
      <c r="B588" s="153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154"/>
    </row>
    <row r="589" spans="1:16" ht="15.75" customHeight="1">
      <c r="A589" s="152"/>
      <c r="B589" s="153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154"/>
    </row>
    <row r="590" spans="1:16" ht="15.75" customHeight="1">
      <c r="A590" s="152"/>
      <c r="B590" s="153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154"/>
    </row>
    <row r="591" spans="1:16" ht="15.75" customHeight="1">
      <c r="A591" s="152"/>
      <c r="B591" s="153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154"/>
    </row>
    <row r="592" spans="1:16" ht="15.75" customHeight="1">
      <c r="A592" s="152"/>
      <c r="B592" s="153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154"/>
    </row>
    <row r="593" spans="1:16" ht="15.75" customHeight="1">
      <c r="A593" s="152"/>
      <c r="B593" s="153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154"/>
    </row>
    <row r="594" spans="1:16" ht="15.75" customHeight="1">
      <c r="A594" s="152"/>
      <c r="B594" s="153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154"/>
    </row>
    <row r="595" spans="1:16" ht="15.75" customHeight="1">
      <c r="A595" s="152"/>
      <c r="B595" s="153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154"/>
    </row>
    <row r="596" spans="1:16" ht="15.75" customHeight="1">
      <c r="A596" s="152"/>
      <c r="B596" s="153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154"/>
    </row>
    <row r="597" spans="1:16" ht="15.75" customHeight="1">
      <c r="A597" s="152"/>
      <c r="B597" s="153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154"/>
    </row>
    <row r="598" spans="1:16" ht="15.75" customHeight="1">
      <c r="A598" s="152"/>
      <c r="B598" s="153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154"/>
    </row>
    <row r="599" spans="1:16" ht="15.75" customHeight="1">
      <c r="A599" s="152"/>
      <c r="B599" s="153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154"/>
    </row>
    <row r="600" spans="1:16" ht="15.75" customHeight="1">
      <c r="A600" s="152"/>
      <c r="B600" s="153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154"/>
    </row>
    <row r="601" spans="1:16" ht="15.75" customHeight="1">
      <c r="A601" s="152"/>
      <c r="B601" s="153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154"/>
    </row>
    <row r="602" spans="1:16" ht="15.75" customHeight="1">
      <c r="A602" s="152"/>
      <c r="B602" s="153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154"/>
    </row>
    <row r="603" spans="1:16" ht="15.75" customHeight="1">
      <c r="A603" s="152"/>
      <c r="B603" s="153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154"/>
    </row>
    <row r="604" spans="1:16" ht="15.75" customHeight="1">
      <c r="A604" s="152"/>
      <c r="B604" s="153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154"/>
    </row>
    <row r="605" spans="1:16" ht="15.75" customHeight="1">
      <c r="A605" s="152"/>
      <c r="B605" s="153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154"/>
    </row>
    <row r="606" spans="1:16" ht="15.75" customHeight="1">
      <c r="A606" s="152"/>
      <c r="B606" s="153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154"/>
    </row>
    <row r="607" spans="1:16" ht="15.75" customHeight="1">
      <c r="A607" s="152"/>
      <c r="B607" s="153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154"/>
    </row>
    <row r="608" spans="1:16" ht="15.75" customHeight="1">
      <c r="A608" s="152"/>
      <c r="B608" s="153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154"/>
    </row>
    <row r="609" spans="1:16" ht="15.75" customHeight="1">
      <c r="A609" s="152"/>
      <c r="B609" s="153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154"/>
    </row>
    <row r="610" spans="1:16" ht="15.75" customHeight="1">
      <c r="A610" s="152"/>
      <c r="B610" s="153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154"/>
    </row>
    <row r="611" spans="1:16" ht="15.75" customHeight="1">
      <c r="A611" s="152"/>
      <c r="B611" s="153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154"/>
    </row>
    <row r="612" spans="1:16" ht="15.75" customHeight="1">
      <c r="A612" s="152"/>
      <c r="B612" s="153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154"/>
    </row>
    <row r="613" spans="1:16" ht="15.75" customHeight="1">
      <c r="A613" s="152"/>
      <c r="B613" s="153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154"/>
    </row>
    <row r="614" spans="1:16" ht="15.75" customHeight="1">
      <c r="A614" s="152"/>
      <c r="B614" s="153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154"/>
    </row>
    <row r="615" spans="1:16" ht="15.75" customHeight="1">
      <c r="A615" s="152"/>
      <c r="B615" s="153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154"/>
    </row>
    <row r="616" spans="1:16" ht="15.75" customHeight="1">
      <c r="A616" s="152"/>
      <c r="B616" s="153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154"/>
    </row>
    <row r="617" spans="1:16" ht="15.75" customHeight="1">
      <c r="A617" s="152"/>
      <c r="B617" s="153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154"/>
    </row>
    <row r="618" spans="1:16" ht="15.75" customHeight="1">
      <c r="A618" s="152"/>
      <c r="B618" s="153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154"/>
    </row>
    <row r="619" spans="1:16" ht="15.75" customHeight="1">
      <c r="A619" s="152"/>
      <c r="B619" s="153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154"/>
    </row>
    <row r="620" spans="1:16" ht="15.75" customHeight="1">
      <c r="A620" s="152"/>
      <c r="B620" s="153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154"/>
    </row>
    <row r="621" spans="1:16" ht="15.75" customHeight="1">
      <c r="A621" s="152"/>
      <c r="B621" s="153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154"/>
    </row>
    <row r="622" spans="1:16" ht="15.75" customHeight="1">
      <c r="A622" s="152"/>
      <c r="B622" s="153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154"/>
    </row>
    <row r="623" spans="1:16" ht="15.75" customHeight="1">
      <c r="A623" s="152"/>
      <c r="B623" s="153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154"/>
    </row>
    <row r="624" spans="1:16" ht="15.75" customHeight="1">
      <c r="A624" s="152"/>
      <c r="B624" s="153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154"/>
    </row>
    <row r="625" spans="1:16" ht="15.75" customHeight="1">
      <c r="A625" s="152"/>
      <c r="B625" s="153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154"/>
    </row>
    <row r="626" spans="1:16" ht="15.75" customHeight="1">
      <c r="A626" s="152"/>
      <c r="B626" s="153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154"/>
    </row>
    <row r="627" spans="1:16" ht="15.75" customHeight="1">
      <c r="A627" s="152"/>
      <c r="B627" s="153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154"/>
    </row>
    <row r="628" spans="1:16" ht="15.75" customHeight="1">
      <c r="A628" s="152"/>
      <c r="B628" s="153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154"/>
    </row>
    <row r="629" spans="1:16" ht="15.75" customHeight="1">
      <c r="A629" s="152"/>
      <c r="B629" s="153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154"/>
    </row>
    <row r="630" spans="1:16" ht="15.75" customHeight="1">
      <c r="A630" s="152"/>
      <c r="B630" s="153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154"/>
    </row>
    <row r="631" spans="1:16" ht="15.75" customHeight="1">
      <c r="A631" s="152"/>
      <c r="B631" s="153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154"/>
    </row>
    <row r="632" spans="1:16" ht="15.75" customHeight="1">
      <c r="A632" s="152"/>
      <c r="B632" s="153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154"/>
    </row>
    <row r="633" spans="1:16" ht="15.75" customHeight="1">
      <c r="A633" s="152"/>
      <c r="B633" s="153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154"/>
    </row>
    <row r="634" spans="1:16" ht="15.75" customHeight="1">
      <c r="A634" s="152"/>
      <c r="B634" s="153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154"/>
    </row>
    <row r="635" spans="1:16" ht="15.75" customHeight="1">
      <c r="A635" s="152"/>
      <c r="B635" s="153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154"/>
    </row>
    <row r="636" spans="1:16" ht="15.75" customHeight="1">
      <c r="A636" s="152"/>
      <c r="B636" s="153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154"/>
    </row>
    <row r="637" spans="1:16" ht="15.75" customHeight="1">
      <c r="A637" s="152"/>
      <c r="B637" s="153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154"/>
    </row>
    <row r="638" spans="1:16" ht="15.75" customHeight="1">
      <c r="A638" s="152"/>
      <c r="B638" s="153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154"/>
    </row>
    <row r="639" spans="1:16" ht="15.75" customHeight="1">
      <c r="A639" s="152"/>
      <c r="B639" s="153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154"/>
    </row>
    <row r="640" spans="1:16" ht="15.75" customHeight="1">
      <c r="A640" s="152"/>
      <c r="B640" s="153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154"/>
    </row>
    <row r="641" spans="1:16" ht="15.75" customHeight="1">
      <c r="A641" s="152"/>
      <c r="B641" s="153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154"/>
    </row>
    <row r="642" spans="1:16" ht="15.75" customHeight="1">
      <c r="A642" s="152"/>
      <c r="B642" s="153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154"/>
    </row>
    <row r="643" spans="1:16" ht="15.75" customHeight="1">
      <c r="A643" s="152"/>
      <c r="B643" s="153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154"/>
    </row>
    <row r="644" spans="1:16" ht="15.75" customHeight="1">
      <c r="A644" s="152"/>
      <c r="B644" s="153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154"/>
    </row>
    <row r="645" spans="1:16" ht="15.75" customHeight="1">
      <c r="A645" s="152"/>
      <c r="B645" s="153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154"/>
    </row>
    <row r="646" spans="1:16" ht="15.75" customHeight="1">
      <c r="A646" s="152"/>
      <c r="B646" s="153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154"/>
    </row>
    <row r="647" spans="1:16" ht="15.75" customHeight="1">
      <c r="A647" s="152"/>
      <c r="B647" s="153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154"/>
    </row>
    <row r="648" spans="1:16" ht="15.75" customHeight="1">
      <c r="A648" s="152"/>
      <c r="B648" s="153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154"/>
    </row>
    <row r="649" spans="1:16" ht="15.75" customHeight="1">
      <c r="A649" s="152"/>
      <c r="B649" s="153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154"/>
    </row>
    <row r="650" spans="1:16" ht="15.75" customHeight="1">
      <c r="A650" s="152"/>
      <c r="B650" s="153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154"/>
    </row>
    <row r="651" spans="1:16" ht="15.75" customHeight="1">
      <c r="A651" s="152"/>
      <c r="B651" s="153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154"/>
    </row>
    <row r="652" spans="1:16" ht="15.75" customHeight="1">
      <c r="A652" s="152"/>
      <c r="B652" s="153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154"/>
    </row>
    <row r="653" spans="1:16" ht="15.75" customHeight="1">
      <c r="A653" s="152"/>
      <c r="B653" s="153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154"/>
    </row>
    <row r="654" spans="1:16" ht="15.75" customHeight="1">
      <c r="A654" s="152"/>
      <c r="B654" s="153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154"/>
    </row>
    <row r="655" spans="1:16" ht="15.75" customHeight="1">
      <c r="A655" s="152"/>
      <c r="B655" s="153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154"/>
    </row>
    <row r="656" spans="1:16" ht="15.75" customHeight="1">
      <c r="A656" s="152"/>
      <c r="B656" s="153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154"/>
    </row>
    <row r="657" spans="1:16" ht="15.75" customHeight="1">
      <c r="A657" s="152"/>
      <c r="B657" s="153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154"/>
    </row>
    <row r="658" spans="1:16" ht="15.75" customHeight="1">
      <c r="A658" s="152"/>
      <c r="B658" s="153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154"/>
    </row>
    <row r="659" spans="1:16" ht="15.75" customHeight="1">
      <c r="A659" s="152"/>
      <c r="B659" s="153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154"/>
    </row>
    <row r="660" spans="1:16" ht="15.75" customHeight="1">
      <c r="A660" s="152"/>
      <c r="B660" s="153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154"/>
    </row>
    <row r="661" spans="1:16" ht="15.75" customHeight="1">
      <c r="A661" s="152"/>
      <c r="B661" s="153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154"/>
    </row>
    <row r="662" spans="1:16" ht="15.75" customHeight="1">
      <c r="A662" s="152"/>
      <c r="B662" s="153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154"/>
    </row>
    <row r="663" spans="1:16" ht="15.75" customHeight="1">
      <c r="A663" s="152"/>
      <c r="B663" s="153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154"/>
    </row>
    <row r="664" spans="1:16" ht="15.75" customHeight="1">
      <c r="A664" s="152"/>
      <c r="B664" s="153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154"/>
    </row>
    <row r="665" spans="1:16" ht="15.75" customHeight="1">
      <c r="A665" s="152"/>
      <c r="B665" s="153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154"/>
    </row>
    <row r="666" spans="1:16" ht="15.75" customHeight="1">
      <c r="A666" s="152"/>
      <c r="B666" s="153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154"/>
    </row>
    <row r="667" spans="1:16" ht="15.75" customHeight="1">
      <c r="A667" s="152"/>
      <c r="B667" s="153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154"/>
    </row>
    <row r="668" spans="1:16" ht="15.75" customHeight="1">
      <c r="A668" s="152"/>
      <c r="B668" s="153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154"/>
    </row>
    <row r="669" spans="1:16" ht="15.75" customHeight="1">
      <c r="A669" s="152"/>
      <c r="B669" s="153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154"/>
    </row>
    <row r="670" spans="1:16" ht="15.75" customHeight="1">
      <c r="A670" s="152"/>
      <c r="B670" s="153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154"/>
    </row>
    <row r="671" spans="1:16" ht="15.75" customHeight="1">
      <c r="A671" s="152"/>
      <c r="B671" s="153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154"/>
    </row>
    <row r="672" spans="1:16" ht="15.75" customHeight="1">
      <c r="A672" s="152"/>
      <c r="B672" s="153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154"/>
    </row>
    <row r="673" spans="1:16" ht="15.75" customHeight="1">
      <c r="A673" s="152"/>
      <c r="B673" s="153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154"/>
    </row>
    <row r="674" spans="1:16" ht="15.75" customHeight="1">
      <c r="A674" s="152"/>
      <c r="B674" s="153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154"/>
    </row>
    <row r="675" spans="1:16" ht="15.75" customHeight="1">
      <c r="A675" s="152"/>
      <c r="B675" s="153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154"/>
    </row>
    <row r="676" spans="1:16" ht="15.75" customHeight="1">
      <c r="A676" s="152"/>
      <c r="B676" s="153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154"/>
    </row>
    <row r="677" spans="1:16" ht="15.75" customHeight="1">
      <c r="A677" s="152"/>
      <c r="B677" s="153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154"/>
    </row>
    <row r="678" spans="1:16" ht="15.75" customHeight="1">
      <c r="A678" s="152"/>
      <c r="B678" s="153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154"/>
    </row>
    <row r="679" spans="1:16" ht="15.75" customHeight="1">
      <c r="A679" s="152"/>
      <c r="B679" s="153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154"/>
    </row>
    <row r="680" spans="1:16" ht="15.75" customHeight="1">
      <c r="A680" s="152"/>
      <c r="B680" s="153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154"/>
    </row>
    <row r="681" spans="1:16" ht="15.75" customHeight="1">
      <c r="A681" s="152"/>
      <c r="B681" s="153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154"/>
    </row>
    <row r="682" spans="1:16" ht="15.75" customHeight="1">
      <c r="A682" s="152"/>
      <c r="B682" s="153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154"/>
    </row>
    <row r="683" spans="1:16" ht="15.75" customHeight="1">
      <c r="A683" s="152"/>
      <c r="B683" s="153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154"/>
    </row>
    <row r="684" spans="1:16" ht="15.75" customHeight="1">
      <c r="A684" s="152"/>
      <c r="B684" s="153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154"/>
    </row>
    <row r="685" spans="1:16" ht="15.75" customHeight="1">
      <c r="A685" s="152"/>
      <c r="B685" s="153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154"/>
    </row>
    <row r="686" spans="1:16" ht="15.75" customHeight="1">
      <c r="A686" s="152"/>
      <c r="B686" s="153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154"/>
    </row>
    <row r="687" spans="1:16" ht="15.75" customHeight="1">
      <c r="A687" s="152"/>
      <c r="B687" s="153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154"/>
    </row>
    <row r="688" spans="1:16" ht="15.75" customHeight="1">
      <c r="A688" s="152"/>
      <c r="B688" s="153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154"/>
    </row>
    <row r="689" spans="1:16" ht="15.75" customHeight="1">
      <c r="A689" s="152"/>
      <c r="B689" s="153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154"/>
    </row>
    <row r="690" spans="1:16" ht="15.75" customHeight="1">
      <c r="A690" s="152"/>
      <c r="B690" s="153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154"/>
    </row>
    <row r="691" spans="1:16" ht="15.75" customHeight="1">
      <c r="A691" s="152"/>
      <c r="B691" s="153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154"/>
    </row>
    <row r="692" spans="1:16" ht="15.75" customHeight="1">
      <c r="A692" s="152"/>
      <c r="B692" s="153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154"/>
    </row>
    <row r="693" spans="1:16" ht="15.75" customHeight="1">
      <c r="A693" s="152"/>
      <c r="B693" s="153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154"/>
    </row>
    <row r="694" spans="1:16" ht="15.75" customHeight="1">
      <c r="A694" s="152"/>
      <c r="B694" s="153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154"/>
    </row>
    <row r="695" spans="1:16" ht="15.75" customHeight="1">
      <c r="A695" s="152"/>
      <c r="B695" s="153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154"/>
    </row>
    <row r="696" spans="1:16" ht="15.75" customHeight="1">
      <c r="A696" s="152"/>
      <c r="B696" s="153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154"/>
    </row>
    <row r="697" spans="1:16" ht="15.75" customHeight="1">
      <c r="A697" s="152"/>
      <c r="B697" s="153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154"/>
    </row>
    <row r="698" spans="1:16" ht="15.75" customHeight="1">
      <c r="A698" s="152"/>
      <c r="B698" s="153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154"/>
    </row>
    <row r="699" spans="1:16" ht="15.75" customHeight="1">
      <c r="A699" s="152"/>
      <c r="B699" s="153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154"/>
    </row>
    <row r="700" spans="1:16" ht="15.75" customHeight="1">
      <c r="A700" s="152"/>
      <c r="B700" s="153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154"/>
    </row>
    <row r="701" spans="1:16" ht="15.75" customHeight="1">
      <c r="A701" s="152"/>
      <c r="B701" s="153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154"/>
    </row>
    <row r="702" spans="1:16" ht="15.75" customHeight="1">
      <c r="A702" s="152"/>
      <c r="B702" s="153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154"/>
    </row>
    <row r="703" spans="1:16" ht="15.75" customHeight="1">
      <c r="A703" s="152"/>
      <c r="B703" s="153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154"/>
    </row>
    <row r="704" spans="1:16" ht="15.75" customHeight="1">
      <c r="A704" s="152"/>
      <c r="B704" s="153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154"/>
    </row>
    <row r="705" spans="1:16" ht="15.75" customHeight="1">
      <c r="A705" s="152"/>
      <c r="B705" s="153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154"/>
    </row>
    <row r="706" spans="1:16" ht="15.75" customHeight="1">
      <c r="A706" s="152"/>
      <c r="B706" s="153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154"/>
    </row>
    <row r="707" spans="1:16" ht="15.75" customHeight="1">
      <c r="A707" s="152"/>
      <c r="B707" s="153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154"/>
    </row>
    <row r="708" spans="1:16" ht="15.75" customHeight="1">
      <c r="A708" s="152"/>
      <c r="B708" s="153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154"/>
    </row>
    <row r="709" spans="1:16" ht="15.75" customHeight="1">
      <c r="A709" s="152"/>
      <c r="B709" s="153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154"/>
    </row>
    <row r="710" spans="1:16" ht="15.75" customHeight="1">
      <c r="A710" s="152"/>
      <c r="B710" s="153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154"/>
    </row>
    <row r="711" spans="1:16" ht="15.75" customHeight="1">
      <c r="A711" s="152"/>
      <c r="B711" s="153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154"/>
    </row>
    <row r="712" spans="1:16" ht="15.75" customHeight="1">
      <c r="A712" s="152"/>
      <c r="B712" s="153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154"/>
    </row>
    <row r="713" spans="1:16" ht="15.75" customHeight="1">
      <c r="A713" s="152"/>
      <c r="B713" s="153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154"/>
    </row>
    <row r="714" spans="1:16" ht="15.75" customHeight="1">
      <c r="A714" s="152"/>
      <c r="B714" s="153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154"/>
    </row>
    <row r="715" spans="1:16" ht="15.75" customHeight="1">
      <c r="A715" s="152"/>
      <c r="B715" s="153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154"/>
    </row>
    <row r="716" spans="1:16" ht="15.75" customHeight="1">
      <c r="A716" s="152"/>
      <c r="B716" s="153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154"/>
    </row>
    <row r="717" spans="1:16" ht="15.75" customHeight="1">
      <c r="A717" s="152"/>
      <c r="B717" s="153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154"/>
    </row>
    <row r="718" spans="1:16" ht="15.75" customHeight="1">
      <c r="A718" s="152"/>
      <c r="B718" s="153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154"/>
    </row>
    <row r="719" spans="1:16" ht="15.75" customHeight="1">
      <c r="A719" s="152"/>
      <c r="B719" s="153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154"/>
    </row>
    <row r="720" spans="1:16" ht="15.75" customHeight="1">
      <c r="A720" s="152"/>
      <c r="B720" s="153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154"/>
    </row>
    <row r="721" spans="1:16" ht="15.75" customHeight="1">
      <c r="A721" s="152"/>
      <c r="B721" s="153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154"/>
    </row>
    <row r="722" spans="1:16" ht="15.75" customHeight="1">
      <c r="A722" s="152"/>
      <c r="B722" s="153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154"/>
    </row>
    <row r="723" spans="1:16" ht="15.75" customHeight="1">
      <c r="A723" s="152"/>
      <c r="B723" s="153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154"/>
    </row>
    <row r="724" spans="1:16" ht="15.75" customHeight="1">
      <c r="A724" s="152"/>
      <c r="B724" s="153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154"/>
    </row>
    <row r="725" spans="1:16" ht="15.75" customHeight="1">
      <c r="A725" s="152"/>
      <c r="B725" s="153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154"/>
    </row>
    <row r="726" spans="1:16" ht="15.75" customHeight="1">
      <c r="A726" s="152"/>
      <c r="B726" s="153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154"/>
    </row>
    <row r="727" spans="1:16" ht="15.75" customHeight="1">
      <c r="A727" s="152"/>
      <c r="B727" s="153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154"/>
    </row>
    <row r="728" spans="1:16" ht="15.75" customHeight="1">
      <c r="A728" s="152"/>
      <c r="B728" s="153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154"/>
    </row>
    <row r="729" spans="1:16" ht="15.75" customHeight="1">
      <c r="A729" s="152"/>
      <c r="B729" s="153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154"/>
    </row>
    <row r="730" spans="1:16" ht="15.75" customHeight="1">
      <c r="A730" s="152"/>
      <c r="B730" s="153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154"/>
    </row>
    <row r="731" spans="1:16" ht="15.75" customHeight="1">
      <c r="A731" s="152"/>
      <c r="B731" s="153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154"/>
    </row>
    <row r="732" spans="1:16" ht="15.75" customHeight="1">
      <c r="A732" s="152"/>
      <c r="B732" s="153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154"/>
    </row>
    <row r="733" spans="1:16" ht="15.75" customHeight="1">
      <c r="A733" s="152"/>
      <c r="B733" s="153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154"/>
    </row>
    <row r="734" spans="1:16" ht="15.75" customHeight="1">
      <c r="A734" s="152"/>
      <c r="B734" s="153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154"/>
    </row>
    <row r="735" spans="1:16" ht="15.75" customHeight="1">
      <c r="A735" s="152"/>
      <c r="B735" s="153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154"/>
    </row>
    <row r="736" spans="1:16" ht="15.75" customHeight="1">
      <c r="A736" s="152"/>
      <c r="B736" s="153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154"/>
    </row>
    <row r="737" spans="1:16" ht="15.75" customHeight="1">
      <c r="A737" s="152"/>
      <c r="B737" s="153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154"/>
    </row>
    <row r="738" spans="1:16" ht="15.75" customHeight="1">
      <c r="A738" s="152"/>
      <c r="B738" s="153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154"/>
    </row>
    <row r="739" spans="1:16" ht="15.75" customHeight="1">
      <c r="A739" s="152"/>
      <c r="B739" s="153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154"/>
    </row>
    <row r="740" spans="1:16" ht="15.75" customHeight="1">
      <c r="A740" s="152"/>
      <c r="B740" s="153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154"/>
    </row>
    <row r="741" spans="1:16" ht="15.75" customHeight="1">
      <c r="A741" s="152"/>
      <c r="B741" s="153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154"/>
    </row>
    <row r="742" spans="1:16" ht="15.75" customHeight="1">
      <c r="A742" s="152"/>
      <c r="B742" s="153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154"/>
    </row>
    <row r="743" spans="1:16" ht="15.75" customHeight="1">
      <c r="A743" s="152"/>
      <c r="B743" s="153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154"/>
    </row>
    <row r="744" spans="1:16" ht="15.75" customHeight="1">
      <c r="A744" s="152"/>
      <c r="B744" s="153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154"/>
    </row>
    <row r="745" spans="1:16" ht="15.75" customHeight="1">
      <c r="A745" s="152"/>
      <c r="B745" s="153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154"/>
    </row>
    <row r="746" spans="1:16" ht="15.75" customHeight="1">
      <c r="A746" s="152"/>
      <c r="B746" s="153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154"/>
    </row>
    <row r="747" spans="1:16" ht="15.75" customHeight="1">
      <c r="A747" s="152"/>
      <c r="B747" s="153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154"/>
    </row>
    <row r="748" spans="1:16" ht="15.75" customHeight="1">
      <c r="A748" s="152"/>
      <c r="B748" s="153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154"/>
    </row>
    <row r="749" spans="1:16" ht="15.75" customHeight="1">
      <c r="A749" s="152"/>
      <c r="B749" s="153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154"/>
    </row>
    <row r="750" spans="1:16" ht="15.75" customHeight="1">
      <c r="A750" s="152"/>
      <c r="B750" s="153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154"/>
    </row>
    <row r="751" spans="1:16" ht="15.75" customHeight="1">
      <c r="A751" s="152"/>
      <c r="B751" s="153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154"/>
    </row>
    <row r="752" spans="1:16" ht="15.75" customHeight="1">
      <c r="A752" s="152"/>
      <c r="B752" s="153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154"/>
    </row>
    <row r="753" spans="1:16" ht="15.75" customHeight="1">
      <c r="A753" s="152"/>
      <c r="B753" s="153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154"/>
    </row>
    <row r="754" spans="1:16" ht="15.75" customHeight="1">
      <c r="A754" s="152"/>
      <c r="B754" s="153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154"/>
    </row>
    <row r="755" spans="1:16" ht="15.75" customHeight="1">
      <c r="A755" s="152"/>
      <c r="B755" s="153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154"/>
    </row>
    <row r="756" spans="1:16" ht="15.75" customHeight="1">
      <c r="A756" s="152"/>
      <c r="B756" s="153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154"/>
    </row>
    <row r="757" spans="1:16" ht="15.75" customHeight="1">
      <c r="A757" s="152"/>
      <c r="B757" s="153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154"/>
    </row>
    <row r="758" spans="1:16" ht="15.75" customHeight="1">
      <c r="A758" s="152"/>
      <c r="B758" s="153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154"/>
    </row>
    <row r="759" spans="1:16" ht="15.75" customHeight="1">
      <c r="A759" s="152"/>
      <c r="B759" s="153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154"/>
    </row>
    <row r="760" spans="1:16" ht="15.75" customHeight="1">
      <c r="A760" s="152"/>
      <c r="B760" s="153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154"/>
    </row>
    <row r="761" spans="1:16" ht="15.75" customHeight="1">
      <c r="A761" s="152"/>
      <c r="B761" s="153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154"/>
    </row>
    <row r="762" spans="1:16" ht="15.75" customHeight="1">
      <c r="A762" s="152"/>
      <c r="B762" s="153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154"/>
    </row>
    <row r="763" spans="1:16" ht="15.75" customHeight="1">
      <c r="A763" s="152"/>
      <c r="B763" s="153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154"/>
    </row>
    <row r="764" spans="1:16" ht="15.75" customHeight="1">
      <c r="A764" s="152"/>
      <c r="B764" s="153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154"/>
    </row>
    <row r="765" spans="1:16" ht="15.75" customHeight="1">
      <c r="A765" s="152"/>
      <c r="B765" s="153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154"/>
    </row>
    <row r="766" spans="1:16" ht="15.75" customHeight="1">
      <c r="A766" s="152"/>
      <c r="B766" s="153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154"/>
    </row>
    <row r="767" spans="1:16" ht="15.75" customHeight="1">
      <c r="A767" s="152"/>
      <c r="B767" s="153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154"/>
    </row>
    <row r="768" spans="1:16" ht="15.75" customHeight="1">
      <c r="A768" s="152"/>
      <c r="B768" s="153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154"/>
    </row>
    <row r="769" spans="1:16" ht="15.75" customHeight="1">
      <c r="A769" s="152"/>
      <c r="B769" s="153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154"/>
    </row>
    <row r="770" spans="1:16" ht="15.75" customHeight="1">
      <c r="A770" s="152"/>
      <c r="B770" s="153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154"/>
    </row>
    <row r="771" spans="1:16" ht="15.75" customHeight="1">
      <c r="A771" s="152"/>
      <c r="B771" s="153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154"/>
    </row>
    <row r="772" spans="1:16" ht="15.75" customHeight="1">
      <c r="A772" s="152"/>
      <c r="B772" s="153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154"/>
    </row>
    <row r="773" spans="1:16" ht="15.75" customHeight="1">
      <c r="A773" s="152"/>
      <c r="B773" s="153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154"/>
    </row>
    <row r="774" spans="1:16" ht="15.75" customHeight="1">
      <c r="A774" s="152"/>
      <c r="B774" s="153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154"/>
    </row>
    <row r="775" spans="1:16" ht="15.75" customHeight="1">
      <c r="A775" s="152"/>
      <c r="B775" s="153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154"/>
    </row>
    <row r="776" spans="1:16" ht="15.75" customHeight="1">
      <c r="A776" s="152"/>
      <c r="B776" s="153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154"/>
    </row>
    <row r="777" spans="1:16" ht="15.75" customHeight="1">
      <c r="A777" s="152"/>
      <c r="B777" s="153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154"/>
    </row>
    <row r="778" spans="1:16" ht="15.75" customHeight="1">
      <c r="A778" s="152"/>
      <c r="B778" s="153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154"/>
    </row>
    <row r="779" spans="1:16" ht="15.75" customHeight="1">
      <c r="A779" s="152"/>
      <c r="B779" s="153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154"/>
    </row>
    <row r="780" spans="1:16" ht="15.75" customHeight="1">
      <c r="A780" s="152"/>
      <c r="B780" s="153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154"/>
    </row>
    <row r="781" spans="1:16" ht="15.75" customHeight="1">
      <c r="A781" s="152"/>
      <c r="B781" s="153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154"/>
    </row>
    <row r="782" spans="1:16" ht="15.75" customHeight="1">
      <c r="A782" s="152"/>
      <c r="B782" s="153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154"/>
    </row>
    <row r="783" spans="1:16" ht="15.75" customHeight="1">
      <c r="A783" s="152"/>
      <c r="B783" s="153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154"/>
    </row>
    <row r="784" spans="1:16" ht="15.75" customHeight="1">
      <c r="A784" s="152"/>
      <c r="B784" s="153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154"/>
    </row>
    <row r="785" spans="1:16" ht="15.75" customHeight="1">
      <c r="A785" s="152"/>
      <c r="B785" s="153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154"/>
    </row>
    <row r="786" spans="1:16" ht="15.75" customHeight="1">
      <c r="A786" s="152"/>
      <c r="B786" s="153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154"/>
    </row>
    <row r="787" spans="1:16" ht="15.75" customHeight="1">
      <c r="A787" s="152"/>
      <c r="B787" s="153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154"/>
    </row>
    <row r="788" spans="1:16" ht="15.75" customHeight="1">
      <c r="A788" s="152"/>
      <c r="B788" s="153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154"/>
    </row>
    <row r="789" spans="1:16" ht="15.75" customHeight="1">
      <c r="A789" s="152"/>
      <c r="B789" s="153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154"/>
    </row>
    <row r="790" spans="1:16" ht="15.75" customHeight="1">
      <c r="A790" s="152"/>
      <c r="B790" s="153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154"/>
    </row>
    <row r="791" spans="1:16" ht="15.75" customHeight="1">
      <c r="A791" s="152"/>
      <c r="B791" s="153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154"/>
    </row>
    <row r="792" spans="1:16" ht="15.75" customHeight="1">
      <c r="A792" s="152"/>
      <c r="B792" s="153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154"/>
    </row>
    <row r="793" spans="1:16" ht="15.75" customHeight="1">
      <c r="A793" s="152"/>
      <c r="B793" s="153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154"/>
    </row>
    <row r="794" spans="1:16" ht="15.75" customHeight="1">
      <c r="A794" s="152"/>
      <c r="B794" s="153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154"/>
    </row>
    <row r="795" spans="1:16" ht="15.75" customHeight="1">
      <c r="A795" s="152"/>
      <c r="B795" s="153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154"/>
    </row>
    <row r="796" spans="1:16" ht="15.75" customHeight="1">
      <c r="A796" s="152"/>
      <c r="B796" s="153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154"/>
    </row>
    <row r="797" spans="1:16" ht="15.75" customHeight="1">
      <c r="A797" s="152"/>
      <c r="B797" s="153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154"/>
    </row>
    <row r="798" spans="1:16" ht="15.75" customHeight="1">
      <c r="A798" s="152"/>
      <c r="B798" s="153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154"/>
    </row>
    <row r="799" spans="1:16" ht="15.75" customHeight="1">
      <c r="A799" s="152"/>
      <c r="B799" s="153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154"/>
    </row>
    <row r="800" spans="1:16" ht="15.75" customHeight="1">
      <c r="A800" s="152"/>
      <c r="B800" s="153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154"/>
    </row>
    <row r="801" spans="1:16" ht="15.75" customHeight="1">
      <c r="A801" s="152"/>
      <c r="B801" s="153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154"/>
    </row>
    <row r="802" spans="1:16" ht="15.75" customHeight="1">
      <c r="A802" s="152"/>
      <c r="B802" s="153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154"/>
    </row>
    <row r="803" spans="1:16" ht="15.75" customHeight="1">
      <c r="A803" s="152"/>
      <c r="B803" s="153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154"/>
    </row>
    <row r="804" spans="1:16" ht="15.75" customHeight="1">
      <c r="A804" s="152"/>
      <c r="B804" s="153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154"/>
    </row>
    <row r="805" spans="1:16" ht="15.75" customHeight="1">
      <c r="A805" s="152"/>
      <c r="B805" s="153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154"/>
    </row>
    <row r="806" spans="1:16" ht="15.75" customHeight="1">
      <c r="A806" s="152"/>
      <c r="B806" s="153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154"/>
    </row>
    <row r="807" spans="1:16" ht="15.75" customHeight="1">
      <c r="A807" s="152"/>
      <c r="B807" s="153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154"/>
    </row>
    <row r="808" spans="1:16" ht="15.75" customHeight="1">
      <c r="A808" s="152"/>
      <c r="B808" s="153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154"/>
    </row>
    <row r="809" spans="1:16" ht="15.75" customHeight="1">
      <c r="A809" s="152"/>
      <c r="B809" s="153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154"/>
    </row>
    <row r="810" spans="1:16" ht="15.75" customHeight="1">
      <c r="A810" s="152"/>
      <c r="B810" s="153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154"/>
    </row>
    <row r="811" spans="1:16" ht="15.75" customHeight="1">
      <c r="A811" s="152"/>
      <c r="B811" s="153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154"/>
    </row>
    <row r="812" spans="1:16" ht="15.75" customHeight="1">
      <c r="A812" s="152"/>
      <c r="B812" s="153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154"/>
    </row>
    <row r="813" spans="1:16" ht="15.75" customHeight="1">
      <c r="A813" s="152"/>
      <c r="B813" s="153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154"/>
    </row>
    <row r="814" spans="1:16" ht="15.75" customHeight="1">
      <c r="A814" s="152"/>
      <c r="B814" s="153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154"/>
    </row>
    <row r="815" spans="1:16" ht="15.75" customHeight="1">
      <c r="A815" s="152"/>
      <c r="B815" s="153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154"/>
    </row>
    <row r="816" spans="1:16" ht="15.75" customHeight="1">
      <c r="A816" s="152"/>
      <c r="B816" s="153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154"/>
    </row>
    <row r="817" spans="1:16" ht="15.75" customHeight="1">
      <c r="A817" s="152"/>
      <c r="B817" s="153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154"/>
    </row>
    <row r="818" spans="1:16" ht="15.75" customHeight="1">
      <c r="A818" s="152"/>
      <c r="B818" s="153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154"/>
    </row>
    <row r="819" spans="1:16" ht="15.75" customHeight="1">
      <c r="A819" s="152"/>
      <c r="B819" s="153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154"/>
    </row>
    <row r="820" spans="1:16" ht="15.75" customHeight="1">
      <c r="A820" s="152"/>
      <c r="B820" s="153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154"/>
    </row>
    <row r="821" spans="1:16" ht="15.75" customHeight="1">
      <c r="A821" s="152"/>
      <c r="B821" s="153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154"/>
    </row>
    <row r="822" spans="1:16" ht="15.75" customHeight="1">
      <c r="A822" s="152"/>
      <c r="B822" s="153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154"/>
    </row>
    <row r="823" spans="1:16" ht="15.75" customHeight="1">
      <c r="A823" s="152"/>
      <c r="B823" s="153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154"/>
    </row>
    <row r="824" spans="1:16" ht="15.75" customHeight="1">
      <c r="A824" s="152"/>
      <c r="B824" s="153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154"/>
    </row>
    <row r="825" spans="1:16" ht="15.75" customHeight="1">
      <c r="A825" s="152"/>
      <c r="B825" s="153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154"/>
    </row>
    <row r="826" spans="1:16" ht="15.75" customHeight="1">
      <c r="A826" s="152"/>
      <c r="B826" s="153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154"/>
    </row>
    <row r="827" spans="1:16" ht="15.75" customHeight="1">
      <c r="A827" s="152"/>
      <c r="B827" s="153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154"/>
    </row>
    <row r="828" spans="1:16" ht="15.75" customHeight="1">
      <c r="A828" s="152"/>
      <c r="B828" s="153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154"/>
    </row>
    <row r="829" spans="1:16" ht="15.75" customHeight="1">
      <c r="A829" s="152"/>
      <c r="B829" s="153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154"/>
    </row>
    <row r="830" spans="1:16" ht="15.75" customHeight="1">
      <c r="A830" s="152"/>
      <c r="B830" s="153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154"/>
    </row>
    <row r="831" spans="1:16" ht="15.75" customHeight="1">
      <c r="A831" s="152"/>
      <c r="B831" s="153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154"/>
    </row>
    <row r="832" spans="1:16" ht="15.75" customHeight="1">
      <c r="A832" s="152"/>
      <c r="B832" s="153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154"/>
    </row>
    <row r="833" spans="1:16" ht="15.75" customHeight="1">
      <c r="A833" s="152"/>
      <c r="B833" s="153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154"/>
    </row>
    <row r="834" spans="1:16" ht="15.75" customHeight="1">
      <c r="A834" s="152"/>
      <c r="B834" s="153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154"/>
    </row>
    <row r="835" spans="1:16" ht="15.75" customHeight="1">
      <c r="A835" s="152"/>
      <c r="B835" s="153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154"/>
    </row>
    <row r="836" spans="1:16" ht="15.75" customHeight="1">
      <c r="A836" s="152"/>
      <c r="B836" s="153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154"/>
    </row>
    <row r="837" spans="1:16" ht="15.75" customHeight="1">
      <c r="A837" s="152"/>
      <c r="B837" s="153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154"/>
    </row>
    <row r="838" spans="1:16" ht="15.75" customHeight="1">
      <c r="A838" s="152"/>
      <c r="B838" s="153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154"/>
    </row>
    <row r="839" spans="1:16" ht="15.75" customHeight="1">
      <c r="A839" s="152"/>
      <c r="B839" s="153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154"/>
    </row>
    <row r="840" spans="1:16" ht="15.75" customHeight="1">
      <c r="A840" s="152"/>
      <c r="B840" s="153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154"/>
    </row>
    <row r="841" spans="1:16" ht="15.75" customHeight="1">
      <c r="A841" s="152"/>
      <c r="B841" s="153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154"/>
    </row>
    <row r="842" spans="1:16" ht="15.75" customHeight="1">
      <c r="A842" s="152"/>
      <c r="B842" s="153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154"/>
    </row>
    <row r="843" spans="1:16" ht="15.75" customHeight="1">
      <c r="A843" s="152"/>
      <c r="B843" s="153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154"/>
    </row>
    <row r="844" spans="1:16" ht="15.75" customHeight="1">
      <c r="A844" s="152"/>
      <c r="B844" s="153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154"/>
    </row>
    <row r="845" spans="1:16" ht="15.75" customHeight="1">
      <c r="A845" s="152"/>
      <c r="B845" s="153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154"/>
    </row>
    <row r="846" spans="1:16" ht="15.75" customHeight="1">
      <c r="A846" s="155"/>
      <c r="B846" s="156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31"/>
      <c r="O846" s="157"/>
      <c r="P846" s="158"/>
    </row>
  </sheetData>
  <conditionalFormatting sqref="H2:H66 H68:H846">
    <cfRule type="expression" dxfId="1" priority="2">
      <formula>COUNTIF(H2:H846, H2) &gt; 1</formula>
    </cfRule>
  </conditionalFormatting>
  <conditionalFormatting sqref="I2:I846 H167">
    <cfRule type="expression" dxfId="0" priority="1">
      <formula>COUNTIF(I2:I1846, I2) &gt; 1</formula>
    </cfRule>
  </conditionalFormatting>
  <dataValidations count="4">
    <dataValidation type="list" allowBlank="1" sqref="B2:B275 N2:N275 J2:L275" xr:uid="{00000000-0002-0000-0100-000000000000}">
      <formula1>#REF!</formula1>
    </dataValidation>
    <dataValidation type="list" allowBlank="1" sqref="F2:F275" xr:uid="{00000000-0002-0000-0100-000001000000}">
      <formula1>"Kassel,Adendorf,Bremerhaven,Karlsruhe,Sachsen,Aschaffenburg,Großwallstadt,Homburg,Birkenfeld,Groß-Umstadt,Frankfurt am Main,Selingenstadt,Stuttgart,Obernburg,Heilbronn,Darmstadt,Berlin,Neckarsulm,Nürnberg,Hof,Speyer,Grünwald,Dortmund,München"</formula1>
    </dataValidation>
    <dataValidation type="custom" allowBlank="1" showDropDown="1" sqref="M2:M275 O2:O275" xr:uid="{00000000-0002-0000-0100-000002000000}">
      <formula1>OR(NOT(ISERROR(DATEVALUE(M2))), AND(ISNUMBER(M2), LEFT(CELL("format", M2))="D"))</formula1>
    </dataValidation>
    <dataValidation allowBlank="1" showDropDown="1" sqref="C2:E275 G2:I275" xr:uid="{00000000-0002-0000-0100-000004000000}"/>
  </dataValidations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2" r:id="rId10" xr:uid="{00000000-0004-0000-0100-000009000000}"/>
    <hyperlink ref="G13" r:id="rId11" xr:uid="{00000000-0004-0000-0100-00000A000000}"/>
    <hyperlink ref="G14" r:id="rId12" xr:uid="{00000000-0004-0000-0100-00000B000000}"/>
    <hyperlink ref="G15" r:id="rId13" xr:uid="{00000000-0004-0000-0100-00000C000000}"/>
    <hyperlink ref="G16" r:id="rId14" xr:uid="{00000000-0004-0000-0100-00000D000000}"/>
    <hyperlink ref="G18" r:id="rId15" xr:uid="{00000000-0004-0000-0100-00000E000000}"/>
    <hyperlink ref="G19" r:id="rId16" xr:uid="{00000000-0004-0000-0100-00000F000000}"/>
    <hyperlink ref="G20" r:id="rId17" xr:uid="{00000000-0004-0000-0100-000010000000}"/>
    <hyperlink ref="G21" r:id="rId18" xr:uid="{00000000-0004-0000-0100-000011000000}"/>
    <hyperlink ref="G25" r:id="rId19" xr:uid="{00000000-0004-0000-0100-000012000000}"/>
    <hyperlink ref="G26" r:id="rId20" xr:uid="{00000000-0004-0000-0100-000013000000}"/>
    <hyperlink ref="G27" r:id="rId21" xr:uid="{00000000-0004-0000-0100-000014000000}"/>
    <hyperlink ref="G28" r:id="rId22" xr:uid="{00000000-0004-0000-0100-000015000000}"/>
    <hyperlink ref="G29" r:id="rId23" xr:uid="{00000000-0004-0000-0100-000016000000}"/>
    <hyperlink ref="G30" r:id="rId24" xr:uid="{00000000-0004-0000-0100-000017000000}"/>
    <hyperlink ref="G34" r:id="rId25" xr:uid="{00000000-0004-0000-0100-000018000000}"/>
    <hyperlink ref="G35" r:id="rId26" xr:uid="{00000000-0004-0000-0100-000019000000}"/>
    <hyperlink ref="G36" r:id="rId27" xr:uid="{00000000-0004-0000-0100-00001A000000}"/>
    <hyperlink ref="G38" r:id="rId28" xr:uid="{00000000-0004-0000-0100-00001B000000}"/>
    <hyperlink ref="G39" r:id="rId29" xr:uid="{00000000-0004-0000-0100-00001C000000}"/>
    <hyperlink ref="G40" r:id="rId30" xr:uid="{00000000-0004-0000-0100-00001D000000}"/>
    <hyperlink ref="G41" r:id="rId31" xr:uid="{00000000-0004-0000-0100-00001E000000}"/>
    <hyperlink ref="G42" r:id="rId32" xr:uid="{00000000-0004-0000-0100-00001F000000}"/>
    <hyperlink ref="G43" r:id="rId33" xr:uid="{00000000-0004-0000-0100-000020000000}"/>
    <hyperlink ref="G45" r:id="rId34" xr:uid="{00000000-0004-0000-0100-000021000000}"/>
    <hyperlink ref="G46" r:id="rId35" xr:uid="{00000000-0004-0000-0100-000022000000}"/>
    <hyperlink ref="G47" r:id="rId36" xr:uid="{00000000-0004-0000-0100-000023000000}"/>
    <hyperlink ref="G48" r:id="rId37" xr:uid="{00000000-0004-0000-0100-000024000000}"/>
    <hyperlink ref="G49" r:id="rId38" xr:uid="{00000000-0004-0000-0100-000025000000}"/>
    <hyperlink ref="G50" r:id="rId39" xr:uid="{00000000-0004-0000-0100-000026000000}"/>
    <hyperlink ref="I50" r:id="rId40" xr:uid="{00000000-0004-0000-0100-000027000000}"/>
    <hyperlink ref="G51" r:id="rId41" xr:uid="{00000000-0004-0000-0100-000028000000}"/>
    <hyperlink ref="I51" r:id="rId42" xr:uid="{00000000-0004-0000-0100-000029000000}"/>
    <hyperlink ref="G52" r:id="rId43" xr:uid="{00000000-0004-0000-0100-00002A000000}"/>
    <hyperlink ref="I52" r:id="rId44" xr:uid="{00000000-0004-0000-0100-00002B000000}"/>
    <hyperlink ref="G53" r:id="rId45" xr:uid="{00000000-0004-0000-0100-00002C000000}"/>
    <hyperlink ref="G55" r:id="rId46" xr:uid="{00000000-0004-0000-0100-00002D000000}"/>
    <hyperlink ref="G56" r:id="rId47" xr:uid="{00000000-0004-0000-0100-00002E000000}"/>
    <hyperlink ref="I56" r:id="rId48" xr:uid="{00000000-0004-0000-0100-00002F000000}"/>
    <hyperlink ref="G57" r:id="rId49" xr:uid="{00000000-0004-0000-0100-000030000000}"/>
    <hyperlink ref="G58" r:id="rId50" xr:uid="{00000000-0004-0000-0100-000031000000}"/>
    <hyperlink ref="I58" r:id="rId51" xr:uid="{00000000-0004-0000-0100-000032000000}"/>
    <hyperlink ref="G59" r:id="rId52" xr:uid="{00000000-0004-0000-0100-000033000000}"/>
    <hyperlink ref="G60" r:id="rId53" xr:uid="{00000000-0004-0000-0100-000034000000}"/>
    <hyperlink ref="G61" r:id="rId54" xr:uid="{00000000-0004-0000-0100-000035000000}"/>
    <hyperlink ref="G62" r:id="rId55" xr:uid="{00000000-0004-0000-0100-000036000000}"/>
    <hyperlink ref="I62" r:id="rId56" xr:uid="{00000000-0004-0000-0100-000037000000}"/>
    <hyperlink ref="G63" r:id="rId57" xr:uid="{00000000-0004-0000-0100-000038000000}"/>
    <hyperlink ref="G64" r:id="rId58" xr:uid="{00000000-0004-0000-0100-000039000000}"/>
    <hyperlink ref="G65" r:id="rId59" xr:uid="{00000000-0004-0000-0100-00003A000000}"/>
    <hyperlink ref="I65" r:id="rId60" xr:uid="{00000000-0004-0000-0100-00003B000000}"/>
    <hyperlink ref="G66" r:id="rId61" xr:uid="{00000000-0004-0000-0100-00003C000000}"/>
    <hyperlink ref="G67" r:id="rId62" xr:uid="{00000000-0004-0000-0100-00003D000000}"/>
    <hyperlink ref="G68" r:id="rId63" xr:uid="{00000000-0004-0000-0100-00003E000000}"/>
    <hyperlink ref="G69" r:id="rId64" xr:uid="{00000000-0004-0000-0100-00003F000000}"/>
    <hyperlink ref="G70" r:id="rId65" xr:uid="{00000000-0004-0000-0100-000040000000}"/>
    <hyperlink ref="I70" r:id="rId66" xr:uid="{00000000-0004-0000-0100-000041000000}"/>
    <hyperlink ref="G71" r:id="rId67" xr:uid="{00000000-0004-0000-0100-000042000000}"/>
    <hyperlink ref="G72" r:id="rId68" xr:uid="{00000000-0004-0000-0100-000043000000}"/>
    <hyperlink ref="G73" r:id="rId69" xr:uid="{00000000-0004-0000-0100-000044000000}"/>
    <hyperlink ref="G74" r:id="rId70" xr:uid="{00000000-0004-0000-0100-000045000000}"/>
    <hyperlink ref="G75" r:id="rId71" xr:uid="{00000000-0004-0000-0100-000046000000}"/>
    <hyperlink ref="I75" r:id="rId72" xr:uid="{00000000-0004-0000-0100-000047000000}"/>
    <hyperlink ref="G76" r:id="rId73" xr:uid="{00000000-0004-0000-0100-000048000000}"/>
    <hyperlink ref="G77" r:id="rId74" xr:uid="{00000000-0004-0000-0100-000049000000}"/>
    <hyperlink ref="G78" r:id="rId75" xr:uid="{00000000-0004-0000-0100-00004A000000}"/>
    <hyperlink ref="G79" r:id="rId76" xr:uid="{00000000-0004-0000-0100-00004B000000}"/>
    <hyperlink ref="I79" r:id="rId77" xr:uid="{00000000-0004-0000-0100-00004C000000}"/>
    <hyperlink ref="G80" r:id="rId78" xr:uid="{00000000-0004-0000-0100-00004D000000}"/>
    <hyperlink ref="I80" r:id="rId79" xr:uid="{00000000-0004-0000-0100-00004E000000}"/>
    <hyperlink ref="G81" r:id="rId80" xr:uid="{00000000-0004-0000-0100-00004F000000}"/>
    <hyperlink ref="I81" r:id="rId81" xr:uid="{00000000-0004-0000-0100-000050000000}"/>
    <hyperlink ref="G82" r:id="rId82" xr:uid="{00000000-0004-0000-0100-000051000000}"/>
    <hyperlink ref="G83" r:id="rId83" xr:uid="{00000000-0004-0000-0100-000052000000}"/>
    <hyperlink ref="I83" r:id="rId84" xr:uid="{00000000-0004-0000-0100-000053000000}"/>
    <hyperlink ref="G84" r:id="rId85" xr:uid="{00000000-0004-0000-0100-000054000000}"/>
    <hyperlink ref="I84" r:id="rId86" xr:uid="{00000000-0004-0000-0100-000055000000}"/>
    <hyperlink ref="G85" r:id="rId87" xr:uid="{00000000-0004-0000-0100-000056000000}"/>
    <hyperlink ref="G86" r:id="rId88" xr:uid="{00000000-0004-0000-0100-000057000000}"/>
    <hyperlink ref="G87" r:id="rId89" xr:uid="{00000000-0004-0000-0100-000058000000}"/>
    <hyperlink ref="G88" r:id="rId90" xr:uid="{00000000-0004-0000-0100-000059000000}"/>
    <hyperlink ref="G89" r:id="rId91" xr:uid="{00000000-0004-0000-0100-00005A000000}"/>
    <hyperlink ref="G90" r:id="rId92" xr:uid="{00000000-0004-0000-0100-00005B000000}"/>
    <hyperlink ref="I90" r:id="rId93" xr:uid="{00000000-0004-0000-0100-00005C000000}"/>
    <hyperlink ref="G91" r:id="rId94" xr:uid="{00000000-0004-0000-0100-00005D000000}"/>
    <hyperlink ref="I91" r:id="rId95" xr:uid="{00000000-0004-0000-0100-00005E000000}"/>
    <hyperlink ref="G92" r:id="rId96" xr:uid="{00000000-0004-0000-0100-00005F000000}"/>
    <hyperlink ref="G93" r:id="rId97" xr:uid="{00000000-0004-0000-0100-000060000000}"/>
    <hyperlink ref="G94" r:id="rId98" xr:uid="{00000000-0004-0000-0100-000061000000}"/>
    <hyperlink ref="I94" r:id="rId99" xr:uid="{00000000-0004-0000-0100-000062000000}"/>
    <hyperlink ref="G95" r:id="rId100" xr:uid="{00000000-0004-0000-0100-000063000000}"/>
    <hyperlink ref="I95" r:id="rId101" xr:uid="{00000000-0004-0000-0100-000064000000}"/>
    <hyperlink ref="G96" r:id="rId102" xr:uid="{00000000-0004-0000-0100-000065000000}"/>
    <hyperlink ref="G97" r:id="rId103" xr:uid="{00000000-0004-0000-0100-000066000000}"/>
    <hyperlink ref="I97" r:id="rId104" xr:uid="{00000000-0004-0000-0100-000067000000}"/>
    <hyperlink ref="G98" r:id="rId105" xr:uid="{00000000-0004-0000-0100-000068000000}"/>
    <hyperlink ref="G99" r:id="rId106" xr:uid="{00000000-0004-0000-0100-000069000000}"/>
    <hyperlink ref="I99" r:id="rId107" xr:uid="{00000000-0004-0000-0100-00006A000000}"/>
    <hyperlink ref="G100" r:id="rId108" xr:uid="{00000000-0004-0000-0100-00006B000000}"/>
    <hyperlink ref="G101" r:id="rId109" xr:uid="{00000000-0004-0000-0100-00006C000000}"/>
    <hyperlink ref="I101" r:id="rId110" xr:uid="{00000000-0004-0000-0100-00006D000000}"/>
    <hyperlink ref="G102" r:id="rId111" xr:uid="{00000000-0004-0000-0100-00006E000000}"/>
    <hyperlink ref="I102" r:id="rId112" xr:uid="{00000000-0004-0000-0100-00006F000000}"/>
    <hyperlink ref="G103" r:id="rId113" xr:uid="{00000000-0004-0000-0100-000070000000}"/>
    <hyperlink ref="I103" r:id="rId114" xr:uid="{00000000-0004-0000-0100-000071000000}"/>
    <hyperlink ref="G104" r:id="rId115" xr:uid="{00000000-0004-0000-0100-000072000000}"/>
    <hyperlink ref="I104" r:id="rId116" xr:uid="{00000000-0004-0000-0100-000073000000}"/>
    <hyperlink ref="G105" r:id="rId117" xr:uid="{00000000-0004-0000-0100-000074000000}"/>
    <hyperlink ref="I105" r:id="rId118" xr:uid="{00000000-0004-0000-0100-000075000000}"/>
    <hyperlink ref="G106" r:id="rId119" xr:uid="{00000000-0004-0000-0100-000076000000}"/>
    <hyperlink ref="G107" r:id="rId120" xr:uid="{00000000-0004-0000-0100-000077000000}"/>
    <hyperlink ref="I107" r:id="rId121" xr:uid="{00000000-0004-0000-0100-000078000000}"/>
    <hyperlink ref="G108" r:id="rId122" xr:uid="{00000000-0004-0000-0100-000079000000}"/>
    <hyperlink ref="I108" r:id="rId123" xr:uid="{00000000-0004-0000-0100-00007A000000}"/>
    <hyperlink ref="G109" r:id="rId124" xr:uid="{00000000-0004-0000-0100-00007B000000}"/>
    <hyperlink ref="G110" r:id="rId125" xr:uid="{00000000-0004-0000-0100-00007C000000}"/>
    <hyperlink ref="I110" r:id="rId126" xr:uid="{00000000-0004-0000-0100-00007D000000}"/>
    <hyperlink ref="G111" r:id="rId127" xr:uid="{00000000-0004-0000-0100-00007E000000}"/>
    <hyperlink ref="I111" r:id="rId128" xr:uid="{00000000-0004-0000-0100-00007F000000}"/>
    <hyperlink ref="G112" r:id="rId129" xr:uid="{00000000-0004-0000-0100-000080000000}"/>
    <hyperlink ref="I112" r:id="rId130" xr:uid="{00000000-0004-0000-0100-000081000000}"/>
    <hyperlink ref="D113" r:id="rId131" xr:uid="{00000000-0004-0000-0100-000082000000}"/>
    <hyperlink ref="G113" r:id="rId132" xr:uid="{00000000-0004-0000-0100-000083000000}"/>
    <hyperlink ref="G116" r:id="rId133" xr:uid="{00000000-0004-0000-0100-000084000000}"/>
    <hyperlink ref="G117" r:id="rId134" xr:uid="{00000000-0004-0000-0100-000085000000}"/>
    <hyperlink ref="G118" r:id="rId135" xr:uid="{00000000-0004-0000-0100-000086000000}"/>
    <hyperlink ref="I118" r:id="rId136" xr:uid="{00000000-0004-0000-0100-000087000000}"/>
    <hyperlink ref="G119" r:id="rId137" xr:uid="{00000000-0004-0000-0100-000088000000}"/>
    <hyperlink ref="I119" r:id="rId138" xr:uid="{00000000-0004-0000-0100-000089000000}"/>
    <hyperlink ref="G120" r:id="rId139" xr:uid="{00000000-0004-0000-0100-00008A000000}"/>
    <hyperlink ref="I120" r:id="rId140" xr:uid="{00000000-0004-0000-0100-00008B000000}"/>
    <hyperlink ref="G121" r:id="rId141" xr:uid="{00000000-0004-0000-0100-00008C000000}"/>
    <hyperlink ref="G122" r:id="rId142" xr:uid="{00000000-0004-0000-0100-00008D000000}"/>
    <hyperlink ref="G123" r:id="rId143" xr:uid="{00000000-0004-0000-0100-00008E000000}"/>
    <hyperlink ref="G124" r:id="rId144" xr:uid="{00000000-0004-0000-0100-00008F000000}"/>
    <hyperlink ref="G125" r:id="rId145" xr:uid="{00000000-0004-0000-0100-000090000000}"/>
    <hyperlink ref="G126" r:id="rId146" xr:uid="{00000000-0004-0000-0100-000091000000}"/>
    <hyperlink ref="C130" r:id="rId147" xr:uid="{00000000-0004-0000-0100-000092000000}"/>
    <hyperlink ref="G135" r:id="rId148" xr:uid="{00000000-0004-0000-0100-000093000000}"/>
    <hyperlink ref="G138" r:id="rId149" xr:uid="{00000000-0004-0000-0100-000094000000}"/>
    <hyperlink ref="G140" r:id="rId150" xr:uid="{00000000-0004-0000-0100-000095000000}"/>
    <hyperlink ref="G143" r:id="rId151" location="google_vignette" xr:uid="{00000000-0004-0000-0100-000096000000}"/>
    <hyperlink ref="G148" r:id="rId152" xr:uid="{00000000-0004-0000-0100-000097000000}"/>
    <hyperlink ref="I148" r:id="rId153" xr:uid="{00000000-0004-0000-0100-000098000000}"/>
    <hyperlink ref="G149" r:id="rId154" xr:uid="{00000000-0004-0000-0100-000099000000}"/>
    <hyperlink ref="I149" r:id="rId155" xr:uid="{00000000-0004-0000-0100-00009A000000}"/>
    <hyperlink ref="G150" r:id="rId156" xr:uid="{00000000-0004-0000-0100-00009B000000}"/>
    <hyperlink ref="G151" r:id="rId157" xr:uid="{00000000-0004-0000-0100-00009C000000}"/>
    <hyperlink ref="G152" r:id="rId158" xr:uid="{00000000-0004-0000-0100-00009D000000}"/>
    <hyperlink ref="G153" r:id="rId159" xr:uid="{00000000-0004-0000-0100-00009E000000}"/>
    <hyperlink ref="G154" r:id="rId160" xr:uid="{00000000-0004-0000-0100-00009F000000}"/>
    <hyperlink ref="I154" r:id="rId161" xr:uid="{00000000-0004-0000-0100-0000A0000000}"/>
    <hyperlink ref="G155" r:id="rId162" xr:uid="{00000000-0004-0000-0100-0000A1000000}"/>
    <hyperlink ref="G156" r:id="rId163" xr:uid="{00000000-0004-0000-0100-0000A2000000}"/>
    <hyperlink ref="G157" r:id="rId164" xr:uid="{00000000-0004-0000-0100-0000A3000000}"/>
    <hyperlink ref="G159" r:id="rId165" xr:uid="{00000000-0004-0000-0100-0000A4000000}"/>
    <hyperlink ref="G161" r:id="rId166" xr:uid="{00000000-0004-0000-0100-0000A5000000}"/>
    <hyperlink ref="G164" r:id="rId167" xr:uid="{00000000-0004-0000-0100-0000A6000000}"/>
    <hyperlink ref="I164" r:id="rId168" xr:uid="{00000000-0004-0000-0100-0000A7000000}"/>
    <hyperlink ref="G165" r:id="rId169" xr:uid="{00000000-0004-0000-0100-0000A8000000}"/>
    <hyperlink ref="G166" r:id="rId170" xr:uid="{00000000-0004-0000-0100-0000A9000000}"/>
    <hyperlink ref="G167" r:id="rId171" xr:uid="{00000000-0004-0000-0100-0000AA000000}"/>
    <hyperlink ref="I167" r:id="rId172" xr:uid="{00000000-0004-0000-0100-0000AB000000}"/>
    <hyperlink ref="G168" r:id="rId173" xr:uid="{00000000-0004-0000-0100-0000AC000000}"/>
    <hyperlink ref="G170" r:id="rId174" xr:uid="{00000000-0004-0000-0100-0000AD000000}"/>
    <hyperlink ref="G172" r:id="rId175" xr:uid="{00000000-0004-0000-0100-0000AE000000}"/>
    <hyperlink ref="C174" r:id="rId176" xr:uid="{00000000-0004-0000-0100-0000AF000000}"/>
    <hyperlink ref="D174" r:id="rId177" xr:uid="{00000000-0004-0000-0100-0000B0000000}"/>
    <hyperlink ref="G176" r:id="rId178" xr:uid="{00000000-0004-0000-0100-0000B1000000}"/>
    <hyperlink ref="G177" r:id="rId179" xr:uid="{00000000-0004-0000-0100-0000B2000000}"/>
    <hyperlink ref="G180" r:id="rId180" xr:uid="{00000000-0004-0000-0100-0000B3000000}"/>
    <hyperlink ref="G181" r:id="rId181" xr:uid="{00000000-0004-0000-0100-0000B4000000}"/>
    <hyperlink ref="G182" r:id="rId182" xr:uid="{00000000-0004-0000-0100-0000B5000000}"/>
    <hyperlink ref="I182" r:id="rId183" xr:uid="{00000000-0004-0000-0100-0000B6000000}"/>
    <hyperlink ref="G184" r:id="rId184" xr:uid="{00000000-0004-0000-0100-0000B7000000}"/>
    <hyperlink ref="G185" r:id="rId185" xr:uid="{00000000-0004-0000-0100-0000B8000000}"/>
    <hyperlink ref="C186" r:id="rId186" xr:uid="{00000000-0004-0000-0100-0000B9000000}"/>
    <hyperlink ref="G186" r:id="rId187" xr:uid="{00000000-0004-0000-0100-0000BA000000}"/>
    <hyperlink ref="I186" r:id="rId188" xr:uid="{00000000-0004-0000-0100-0000BB000000}"/>
    <hyperlink ref="C187" r:id="rId189" xr:uid="{00000000-0004-0000-0100-0000BC000000}"/>
    <hyperlink ref="G188" r:id="rId190" xr:uid="{00000000-0004-0000-0100-0000BD000000}"/>
    <hyperlink ref="G189" r:id="rId191" xr:uid="{00000000-0004-0000-0100-0000BE000000}"/>
    <hyperlink ref="I189" r:id="rId192" xr:uid="{00000000-0004-0000-0100-0000BF000000}"/>
    <hyperlink ref="G190" r:id="rId193" xr:uid="{00000000-0004-0000-0100-0000C0000000}"/>
    <hyperlink ref="G192" r:id="rId194" xr:uid="{00000000-0004-0000-0100-0000C1000000}"/>
    <hyperlink ref="G193" r:id="rId195" xr:uid="{00000000-0004-0000-0100-0000C2000000}"/>
    <hyperlink ref="G194" r:id="rId196" xr:uid="{00000000-0004-0000-0100-0000C3000000}"/>
    <hyperlink ref="G195" r:id="rId197" xr:uid="{00000000-0004-0000-0100-0000C4000000}"/>
    <hyperlink ref="I195" r:id="rId198" xr:uid="{00000000-0004-0000-0100-0000C5000000}"/>
    <hyperlink ref="G196" r:id="rId199" xr:uid="{00000000-0004-0000-0100-0000C6000000}"/>
    <hyperlink ref="I196" r:id="rId200" xr:uid="{00000000-0004-0000-0100-0000C7000000}"/>
    <hyperlink ref="G198" r:id="rId201" xr:uid="{00000000-0004-0000-0100-0000C8000000}"/>
    <hyperlink ref="G199" r:id="rId202" xr:uid="{00000000-0004-0000-0100-0000C9000000}"/>
    <hyperlink ref="G200" r:id="rId203" xr:uid="{00000000-0004-0000-0100-0000CA000000}"/>
    <hyperlink ref="G202" r:id="rId204" xr:uid="{00000000-0004-0000-0100-0000CB000000}"/>
    <hyperlink ref="C203" r:id="rId205" xr:uid="{00000000-0004-0000-0100-0000CC000000}"/>
    <hyperlink ref="D203" r:id="rId206" xr:uid="{00000000-0004-0000-0100-0000CD000000}"/>
    <hyperlink ref="G204" r:id="rId207" xr:uid="{00000000-0004-0000-0100-0000CE000000}"/>
    <hyperlink ref="G208" r:id="rId208" xr:uid="{00000000-0004-0000-0100-0000CF000000}"/>
    <hyperlink ref="G215" r:id="rId209" xr:uid="{00000000-0004-0000-0100-0000D0000000}"/>
    <hyperlink ref="G216" r:id="rId210" xr:uid="{00000000-0004-0000-0100-0000D1000000}"/>
    <hyperlink ref="I216" r:id="rId211" xr:uid="{00000000-0004-0000-0100-0000D2000000}"/>
    <hyperlink ref="G217" r:id="rId212" xr:uid="{00000000-0004-0000-0100-0000D3000000}"/>
    <hyperlink ref="G221" r:id="rId213" xr:uid="{00000000-0004-0000-0100-0000D4000000}"/>
    <hyperlink ref="I221" r:id="rId214" xr:uid="{00000000-0004-0000-0100-0000D5000000}"/>
    <hyperlink ref="C222" r:id="rId215" xr:uid="{00000000-0004-0000-0100-0000D6000000}"/>
    <hyperlink ref="D222" r:id="rId216" xr:uid="{00000000-0004-0000-0100-0000D7000000}"/>
    <hyperlink ref="G222" r:id="rId217" xr:uid="{00000000-0004-0000-0100-0000D8000000}"/>
    <hyperlink ref="G224" r:id="rId218" xr:uid="{00000000-0004-0000-0100-0000D9000000}"/>
    <hyperlink ref="C225" r:id="rId219" xr:uid="{00000000-0004-0000-0100-0000DA000000}"/>
    <hyperlink ref="G225" r:id="rId220" xr:uid="{00000000-0004-0000-0100-0000DB000000}"/>
    <hyperlink ref="G226" r:id="rId221" xr:uid="{00000000-0004-0000-0100-0000DC000000}"/>
    <hyperlink ref="C227" r:id="rId222" xr:uid="{00000000-0004-0000-0100-0000DD000000}"/>
    <hyperlink ref="G227" r:id="rId223" xr:uid="{00000000-0004-0000-0100-0000DE000000}"/>
    <hyperlink ref="I227" r:id="rId224" xr:uid="{00000000-0004-0000-0100-0000DF000000}"/>
    <hyperlink ref="G228" r:id="rId225" xr:uid="{00000000-0004-0000-0100-0000E0000000}"/>
    <hyperlink ref="I228" r:id="rId226" xr:uid="{00000000-0004-0000-0100-0000E1000000}"/>
    <hyperlink ref="G229" r:id="rId227" xr:uid="{00000000-0004-0000-0100-0000E2000000}"/>
    <hyperlink ref="G230" r:id="rId228" xr:uid="{00000000-0004-0000-0100-0000E3000000}"/>
    <hyperlink ref="G231" r:id="rId229" xr:uid="{00000000-0004-0000-0100-0000E4000000}"/>
    <hyperlink ref="C232" r:id="rId230" xr:uid="{00000000-0004-0000-0100-0000E5000000}"/>
    <hyperlink ref="G232" r:id="rId231" xr:uid="{00000000-0004-0000-0100-0000E6000000}"/>
    <hyperlink ref="C233" r:id="rId232" xr:uid="{00000000-0004-0000-0100-0000E7000000}"/>
    <hyperlink ref="G233" r:id="rId233" xr:uid="{00000000-0004-0000-0100-0000E8000000}"/>
    <hyperlink ref="I233" r:id="rId234" xr:uid="{00000000-0004-0000-0100-0000E9000000}"/>
    <hyperlink ref="C234" r:id="rId235" xr:uid="{00000000-0004-0000-0100-0000EA000000}"/>
    <hyperlink ref="G234" r:id="rId236" xr:uid="{00000000-0004-0000-0100-0000EB000000}"/>
    <hyperlink ref="I234" r:id="rId237" xr:uid="{00000000-0004-0000-0100-0000EC000000}"/>
    <hyperlink ref="G235" r:id="rId238" xr:uid="{00000000-0004-0000-0100-0000ED000000}"/>
    <hyperlink ref="I235" r:id="rId239" xr:uid="{00000000-0004-0000-0100-0000EE000000}"/>
    <hyperlink ref="G236" r:id="rId240" xr:uid="{00000000-0004-0000-0100-0000EF000000}"/>
    <hyperlink ref="I236" r:id="rId241" xr:uid="{00000000-0004-0000-0100-0000F0000000}"/>
    <hyperlink ref="C237" r:id="rId242" xr:uid="{00000000-0004-0000-0100-0000F1000000}"/>
    <hyperlink ref="G237" r:id="rId243" xr:uid="{00000000-0004-0000-0100-0000F2000000}"/>
    <hyperlink ref="I237" r:id="rId244" xr:uid="{00000000-0004-0000-0100-0000F3000000}"/>
    <hyperlink ref="C238" r:id="rId245" xr:uid="{00000000-0004-0000-0100-0000F4000000}"/>
    <hyperlink ref="G238" r:id="rId246" xr:uid="{00000000-0004-0000-0100-0000F5000000}"/>
    <hyperlink ref="G239" r:id="rId247" xr:uid="{00000000-0004-0000-0100-0000F6000000}"/>
    <hyperlink ref="I239" r:id="rId248" xr:uid="{00000000-0004-0000-0100-0000F7000000}"/>
    <hyperlink ref="G240" r:id="rId249" xr:uid="{00000000-0004-0000-0100-0000F8000000}"/>
    <hyperlink ref="G242" r:id="rId250" xr:uid="{00000000-0004-0000-0100-0000F9000000}"/>
    <hyperlink ref="G243" r:id="rId251" xr:uid="{00000000-0004-0000-0100-0000FA000000}"/>
    <hyperlink ref="G244" r:id="rId252" xr:uid="{00000000-0004-0000-0100-0000FB000000}"/>
    <hyperlink ref="G245" r:id="rId253" xr:uid="{00000000-0004-0000-0100-0000FC000000}"/>
    <hyperlink ref="I245" r:id="rId254" xr:uid="{00000000-0004-0000-0100-0000FD000000}"/>
    <hyperlink ref="G246" r:id="rId255" xr:uid="{00000000-0004-0000-0100-0000FE000000}"/>
    <hyperlink ref="I246" r:id="rId256" xr:uid="{00000000-0004-0000-0100-0000FF000000}"/>
    <hyperlink ref="G247" r:id="rId257" xr:uid="{00000000-0004-0000-0100-000000010000}"/>
    <hyperlink ref="I247" r:id="rId258" xr:uid="{00000000-0004-0000-0100-000001010000}"/>
    <hyperlink ref="G250" r:id="rId259" xr:uid="{00000000-0004-0000-0100-000002010000}"/>
    <hyperlink ref="G251" r:id="rId260" xr:uid="{00000000-0004-0000-0100-000003010000}"/>
    <hyperlink ref="I251" r:id="rId261" xr:uid="{00000000-0004-0000-0100-000004010000}"/>
    <hyperlink ref="G252" r:id="rId262" xr:uid="{00000000-0004-0000-0100-000005010000}"/>
    <hyperlink ref="I252" r:id="rId263" xr:uid="{00000000-0004-0000-0100-000006010000}"/>
    <hyperlink ref="G254" r:id="rId264" xr:uid="{00000000-0004-0000-0100-000007010000}"/>
    <hyperlink ref="G256" r:id="rId265" xr:uid="{00000000-0004-0000-0100-000008010000}"/>
    <hyperlink ref="I256" r:id="rId266" xr:uid="{00000000-0004-0000-0100-000009010000}"/>
    <hyperlink ref="G257" r:id="rId267" xr:uid="{00000000-0004-0000-0100-00000A010000}"/>
    <hyperlink ref="I257" r:id="rId268" xr:uid="{00000000-0004-0000-0100-00000B010000}"/>
    <hyperlink ref="G258" r:id="rId269" xr:uid="{00000000-0004-0000-0100-00000C010000}"/>
    <hyperlink ref="I258" r:id="rId270" xr:uid="{00000000-0004-0000-0100-00000D010000}"/>
  </hyperlinks>
  <pageMargins left="0.75" right="0.75" top="1" bottom="1" header="0" footer="0"/>
  <pageSetup paperSize="9" orientation="portrait"/>
  <legacyDrawing r:id="rId271"/>
  <tableParts count="1">
    <tablePart r:id="rId27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7CFF"/>
    <outlinePr summaryBelow="0" summaryRight="0"/>
  </sheetPr>
  <dimension ref="A1:K999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2578125" defaultRowHeight="15" customHeight="1"/>
  <cols>
    <col min="1" max="1" width="15.28515625" customWidth="1"/>
    <col min="2" max="2" width="21.5703125" customWidth="1"/>
    <col min="3" max="3" width="21.85546875" customWidth="1"/>
    <col min="4" max="4" width="21" customWidth="1"/>
    <col min="5" max="5" width="21.85546875" customWidth="1"/>
    <col min="6" max="6" width="29.28515625" customWidth="1"/>
    <col min="7" max="7" width="18.28515625" customWidth="1"/>
    <col min="8" max="8" width="18.42578125" customWidth="1"/>
  </cols>
  <sheetData>
    <row r="1" spans="1:11" ht="16.5">
      <c r="A1" s="237" t="s">
        <v>1238</v>
      </c>
      <c r="B1" s="232"/>
      <c r="C1" s="232"/>
      <c r="D1" s="232"/>
      <c r="E1" s="232"/>
      <c r="F1" s="232"/>
      <c r="G1" s="232"/>
      <c r="H1" s="232"/>
    </row>
    <row r="2" spans="1:11">
      <c r="A2" s="238" t="s">
        <v>1239</v>
      </c>
      <c r="B2" s="232"/>
      <c r="C2" s="232"/>
      <c r="D2" s="232"/>
      <c r="E2" s="232"/>
      <c r="F2" s="232"/>
      <c r="G2" s="232"/>
      <c r="H2" s="232"/>
    </row>
    <row r="3" spans="1:11" ht="22.5" customHeight="1">
      <c r="A3" s="159" t="s">
        <v>1240</v>
      </c>
      <c r="B3" s="159" t="s">
        <v>1241</v>
      </c>
      <c r="C3" s="33" t="s">
        <v>1242</v>
      </c>
      <c r="D3" s="159" t="s">
        <v>1243</v>
      </c>
      <c r="E3" s="33" t="s">
        <v>1244</v>
      </c>
      <c r="F3" s="159" t="s">
        <v>1245</v>
      </c>
      <c r="G3" s="33" t="s">
        <v>1246</v>
      </c>
      <c r="H3" s="159" t="s">
        <v>1247</v>
      </c>
    </row>
    <row r="4" spans="1:11" ht="22.5" customHeight="1">
      <c r="A4" s="160"/>
      <c r="B4" s="161"/>
      <c r="C4" s="161"/>
      <c r="D4" s="162">
        <f>IFERROR(AkquiseTracking[[#This Row],[Wählversuche]]/AkquiseTracking[[#This Row],[Gespräche mit Empfang]],0)</f>
        <v>0</v>
      </c>
      <c r="E4" s="161"/>
      <c r="F4" s="162">
        <f>IFERROR(AkquiseTracking[[#This Row],[Gespräche mit Entscheider]]/AkquiseTracking[[#This Row],[Gespräche mit Empfang]],0)</f>
        <v>0</v>
      </c>
      <c r="G4" s="161"/>
      <c r="H4" s="162">
        <f>IFERROR(AkquiseTracking[[#This Row],[Termine vereinbart]]/AkquiseTracking[[#This Row],[Gespräche mit Empfang]],0)</f>
        <v>0</v>
      </c>
    </row>
    <row r="5" spans="1:11" ht="22.5" customHeight="1">
      <c r="A5" s="160"/>
      <c r="B5" s="161"/>
      <c r="C5" s="161"/>
      <c r="D5" s="163">
        <f>IFERROR(AkquiseTracking[[#This Row],[Wählversuche]]/AkquiseTracking[[#This Row],[Gespräche mit Empfang]],0)</f>
        <v>0</v>
      </c>
      <c r="E5" s="161"/>
      <c r="F5" s="163">
        <f>IFERROR(AkquiseTracking[[#This Row],[Gespräche mit Entscheider]]/AkquiseTracking[[#This Row],[Gespräche mit Empfang]],0)</f>
        <v>0</v>
      </c>
      <c r="G5" s="161"/>
      <c r="H5" s="163">
        <f>IFERROR(AkquiseTracking[[#This Row],[Termine vereinbart]]/AkquiseTracking[[#This Row],[Gespräche mit Empfang]],0)</f>
        <v>0</v>
      </c>
      <c r="J5" s="164" t="s">
        <v>1248</v>
      </c>
      <c r="K5" s="165" t="s">
        <v>1249</v>
      </c>
    </row>
    <row r="6" spans="1:11" ht="22.5" customHeight="1">
      <c r="A6" s="160"/>
      <c r="B6" s="161"/>
      <c r="C6" s="161"/>
      <c r="D6" s="163">
        <f>IFERROR(AkquiseTracking[[#This Row],[Wählversuche]]/AkquiseTracking[[#This Row],[Gespräche mit Empfang]],0)</f>
        <v>0</v>
      </c>
      <c r="E6" s="161"/>
      <c r="F6" s="163">
        <f>IFERROR(AkquiseTracking[[#This Row],[Gespräche mit Entscheider]]/AkquiseTracking[[#This Row],[Gespräche mit Empfang]],0)</f>
        <v>0</v>
      </c>
      <c r="G6" s="161"/>
      <c r="H6" s="163">
        <f>IFERROR(AkquiseTracking[[#This Row],[Termine vereinbart]]/AkquiseTracking[[#This Row],[Gespräche mit Empfang]],0)</f>
        <v>0</v>
      </c>
      <c r="J6" s="166" t="s">
        <v>1241</v>
      </c>
      <c r="K6" s="167" t="e">
        <f>AVERAGE(AkquiseTracking[Wählversuche])</f>
        <v>#DIV/0!</v>
      </c>
    </row>
    <row r="7" spans="1:11" ht="22.5" customHeight="1">
      <c r="A7" s="160"/>
      <c r="B7" s="161"/>
      <c r="C7" s="161"/>
      <c r="D7" s="163">
        <f>IFERROR(AkquiseTracking[[#This Row],[Wählversuche]]/AkquiseTracking[[#This Row],[Gespräche mit Empfang]],0)</f>
        <v>0</v>
      </c>
      <c r="E7" s="161"/>
      <c r="F7" s="163">
        <f>IFERROR(AkquiseTracking[[#This Row],[Gespräche mit Entscheider]]/AkquiseTracking[[#This Row],[Gespräche mit Empfang]],0)</f>
        <v>0</v>
      </c>
      <c r="G7" s="161"/>
      <c r="H7" s="163">
        <f>IFERROR(AkquiseTracking[[#This Row],[Termine vereinbart]]/AkquiseTracking[[#This Row],[Gespräche mit Empfang]],0)</f>
        <v>0</v>
      </c>
      <c r="J7" s="166" t="s">
        <v>1250</v>
      </c>
      <c r="K7" s="168" t="e">
        <f>AVERAGE(AkquiseTracking[Gespräche mit Empfang])</f>
        <v>#DIV/0!</v>
      </c>
    </row>
    <row r="8" spans="1:11" ht="22.5" customHeight="1">
      <c r="A8" s="160"/>
      <c r="B8" s="161"/>
      <c r="C8" s="161"/>
      <c r="D8" s="163">
        <f>IFERROR(AkquiseTracking[[#This Row],[Wählversuche]]/AkquiseTracking[[#This Row],[Gespräche mit Empfang]],0)</f>
        <v>0</v>
      </c>
      <c r="E8" s="161"/>
      <c r="F8" s="163">
        <f>IFERROR(AkquiseTracking[[#This Row],[Gespräche mit Entscheider]]/AkquiseTracking[[#This Row],[Gespräche mit Empfang]],0)</f>
        <v>0</v>
      </c>
      <c r="G8" s="161"/>
      <c r="H8" s="163">
        <f>IFERROR(AkquiseTracking[[#This Row],[Termine vereinbart]]/AkquiseTracking[[#This Row],[Gespräche mit Empfang]],0)</f>
        <v>0</v>
      </c>
      <c r="J8" s="166" t="s">
        <v>1251</v>
      </c>
      <c r="K8" s="169">
        <f>AVERAGE(AkquiseTracking[Quote
 Empfang])</f>
        <v>0</v>
      </c>
    </row>
    <row r="9" spans="1:11" ht="22.5" customHeight="1">
      <c r="A9" s="160"/>
      <c r="B9" s="161"/>
      <c r="C9" s="161"/>
      <c r="D9" s="163">
        <f>IFERROR(AkquiseTracking[[#This Row],[Wählversuche]]/AkquiseTracking[[#This Row],[Gespräche mit Empfang]],0)</f>
        <v>0</v>
      </c>
      <c r="E9" s="161"/>
      <c r="F9" s="163">
        <f>IFERROR(AkquiseTracking[[#This Row],[Gespräche mit Entscheider]]/AkquiseTracking[[#This Row],[Gespräche mit Empfang]],0)</f>
        <v>0</v>
      </c>
      <c r="G9" s="161"/>
      <c r="H9" s="163">
        <f>IFERROR(AkquiseTracking[[#This Row],[Termine vereinbart]]/AkquiseTracking[[#This Row],[Gespräche mit Empfang]],0)</f>
        <v>0</v>
      </c>
      <c r="J9" s="166" t="s">
        <v>1244</v>
      </c>
      <c r="K9" s="168" t="e">
        <f>AVERAGE(AkquiseTracking[Gespräche mit Entscheider])</f>
        <v>#DIV/0!</v>
      </c>
    </row>
    <row r="10" spans="1:11" ht="22.5" customHeight="1">
      <c r="A10" s="160"/>
      <c r="B10" s="161"/>
      <c r="C10" s="161"/>
      <c r="D10" s="163">
        <f>IFERROR(AkquiseTracking[[#This Row],[Wählversuche]]/AkquiseTracking[[#This Row],[Gespräche mit Empfang]],0)</f>
        <v>0</v>
      </c>
      <c r="E10" s="161"/>
      <c r="F10" s="163">
        <f>IFERROR(AkquiseTracking[[#This Row],[Gespräche mit Entscheider]]/AkquiseTracking[[#This Row],[Gespräche mit Empfang]],0)</f>
        <v>0</v>
      </c>
      <c r="G10" s="161"/>
      <c r="H10" s="163">
        <f>IFERROR(AkquiseTracking[[#This Row],[Termine vereinbart]]/AkquiseTracking[[#This Row],[Gespräche mit Empfang]],0)</f>
        <v>0</v>
      </c>
      <c r="J10" s="166" t="s">
        <v>1252</v>
      </c>
      <c r="K10" s="169">
        <f>AVERAGE(AkquiseTracking[Quote
 Empfang Überwindung])</f>
        <v>0</v>
      </c>
    </row>
    <row r="11" spans="1:11" ht="22.5" customHeight="1">
      <c r="A11" s="160"/>
      <c r="B11" s="161"/>
      <c r="C11" s="161"/>
      <c r="D11" s="163">
        <f>IFERROR(AkquiseTracking[[#This Row],[Wählversuche]]/AkquiseTracking[[#This Row],[Gespräche mit Empfang]],0)</f>
        <v>0</v>
      </c>
      <c r="E11" s="161"/>
      <c r="F11" s="163">
        <f>IFERROR(AkquiseTracking[[#This Row],[Gespräche mit Entscheider]]/AkquiseTracking[[#This Row],[Gespräche mit Empfang]],0)</f>
        <v>0</v>
      </c>
      <c r="G11" s="161"/>
      <c r="H11" s="163">
        <f>IFERROR(AkquiseTracking[[#This Row],[Termine vereinbart]]/AkquiseTracking[[#This Row],[Gespräche mit Empfang]],0)</f>
        <v>0</v>
      </c>
      <c r="J11" s="166" t="s">
        <v>1246</v>
      </c>
      <c r="K11" s="168" t="e">
        <f>AVERAGE(AkquiseTracking[Termine vereinbart])</f>
        <v>#DIV/0!</v>
      </c>
    </row>
    <row r="12" spans="1:11" ht="22.5" customHeight="1">
      <c r="A12" s="160"/>
      <c r="B12" s="161"/>
      <c r="C12" s="161"/>
      <c r="D12" s="163">
        <f>IFERROR(AkquiseTracking[[#This Row],[Wählversuche]]/AkquiseTracking[[#This Row],[Gespräche mit Empfang]],0)</f>
        <v>0</v>
      </c>
      <c r="E12" s="161"/>
      <c r="F12" s="163">
        <f>IFERROR(AkquiseTracking[[#This Row],[Gespräche mit Entscheider]]/AkquiseTracking[[#This Row],[Gespräche mit Empfang]],0)</f>
        <v>0</v>
      </c>
      <c r="G12" s="161"/>
      <c r="H12" s="163">
        <f>IFERROR(AkquiseTracking[[#This Row],[Termine vereinbart]]/AkquiseTracking[[#This Row],[Gespräche mit Empfang]],0)</f>
        <v>0</v>
      </c>
      <c r="J12" s="170" t="s">
        <v>1253</v>
      </c>
      <c r="K12" s="171">
        <f>AVERAGE(AkquiseTracking[Quote
 Quali-Call])</f>
        <v>0</v>
      </c>
    </row>
    <row r="13" spans="1:11" ht="22.5" customHeight="1">
      <c r="A13" s="160"/>
      <c r="B13" s="161"/>
      <c r="C13" s="161"/>
      <c r="D13" s="163">
        <f>IFERROR(AkquiseTracking[[#This Row],[Wählversuche]]/AkquiseTracking[[#This Row],[Gespräche mit Empfang]],0)</f>
        <v>0</v>
      </c>
      <c r="E13" s="161"/>
      <c r="F13" s="163">
        <f>IFERROR(AkquiseTracking[[#This Row],[Gespräche mit Entscheider]]/AkquiseTracking[[#This Row],[Gespräche mit Empfang]],0)</f>
        <v>0</v>
      </c>
      <c r="G13" s="161"/>
      <c r="H13" s="163">
        <f>IFERROR(AkquiseTracking[[#This Row],[Termine vereinbart]]/AkquiseTracking[[#This Row],[Gespräche mit Empfang]],0)</f>
        <v>0</v>
      </c>
    </row>
    <row r="14" spans="1:11" ht="22.5" customHeight="1">
      <c r="A14" s="160"/>
      <c r="B14" s="161"/>
      <c r="C14" s="161"/>
      <c r="D14" s="163">
        <f>IFERROR(AkquiseTracking[[#This Row],[Wählversuche]]/AkquiseTracking[[#This Row],[Gespräche mit Empfang]],0)</f>
        <v>0</v>
      </c>
      <c r="E14" s="161"/>
      <c r="F14" s="163">
        <f>IFERROR(AkquiseTracking[[#This Row],[Gespräche mit Entscheider]]/AkquiseTracking[[#This Row],[Gespräche mit Empfang]],0)</f>
        <v>0</v>
      </c>
      <c r="G14" s="161"/>
      <c r="H14" s="163">
        <f>IFERROR(AkquiseTracking[[#This Row],[Termine vereinbart]]/AkquiseTracking[[#This Row],[Gespräche mit Empfang]],0)</f>
        <v>0</v>
      </c>
    </row>
    <row r="15" spans="1:11" ht="22.5" customHeight="1">
      <c r="A15" s="160"/>
      <c r="B15" s="161"/>
      <c r="C15" s="161"/>
      <c r="D15" s="163">
        <f>IFERROR(AkquiseTracking[[#This Row],[Wählversuche]]/AkquiseTracking[[#This Row],[Gespräche mit Empfang]],0)</f>
        <v>0</v>
      </c>
      <c r="E15" s="161"/>
      <c r="F15" s="163">
        <f>IFERROR(AkquiseTracking[[#This Row],[Gespräche mit Entscheider]]/AkquiseTracking[[#This Row],[Gespräche mit Empfang]],0)</f>
        <v>0</v>
      </c>
      <c r="G15" s="161"/>
      <c r="H15" s="163">
        <f>IFERROR(AkquiseTracking[[#This Row],[Termine vereinbart]]/AkquiseTracking[[#This Row],[Gespräche mit Empfang]],0)</f>
        <v>0</v>
      </c>
    </row>
    <row r="16" spans="1:11" ht="22.5" customHeight="1">
      <c r="A16" s="160"/>
      <c r="B16" s="161"/>
      <c r="C16" s="161"/>
      <c r="D16" s="163">
        <f>IFERROR(AkquiseTracking[[#This Row],[Wählversuche]]/AkquiseTracking[[#This Row],[Gespräche mit Empfang]],0)</f>
        <v>0</v>
      </c>
      <c r="E16" s="161"/>
      <c r="F16" s="163">
        <f>IFERROR(AkquiseTracking[[#This Row],[Gespräche mit Entscheider]]/AkquiseTracking[[#This Row],[Gespräche mit Empfang]],0)</f>
        <v>0</v>
      </c>
      <c r="G16" s="161"/>
      <c r="H16" s="163">
        <f>IFERROR(AkquiseTracking[[#This Row],[Termine vereinbart]]/AkquiseTracking[[#This Row],[Gespräche mit Empfang]],0)</f>
        <v>0</v>
      </c>
    </row>
    <row r="17" spans="1:8" ht="22.5" customHeight="1">
      <c r="A17" s="160"/>
      <c r="B17" s="161"/>
      <c r="C17" s="161"/>
      <c r="D17" s="163">
        <f>IFERROR(AkquiseTracking[[#This Row],[Wählversuche]]/AkquiseTracking[[#This Row],[Gespräche mit Empfang]],0)</f>
        <v>0</v>
      </c>
      <c r="E17" s="161"/>
      <c r="F17" s="163">
        <f>IFERROR(AkquiseTracking[[#This Row],[Gespräche mit Entscheider]]/AkquiseTracking[[#This Row],[Gespräche mit Empfang]],0)</f>
        <v>0</v>
      </c>
      <c r="G17" s="161"/>
      <c r="H17" s="163">
        <f>IFERROR(AkquiseTracking[[#This Row],[Termine vereinbart]]/AkquiseTracking[[#This Row],[Gespräche mit Empfang]],0)</f>
        <v>0</v>
      </c>
    </row>
    <row r="18" spans="1:8" ht="22.5" customHeight="1">
      <c r="A18" s="160"/>
      <c r="B18" s="161"/>
      <c r="C18" s="161"/>
      <c r="D18" s="163">
        <f>IFERROR(AkquiseTracking[[#This Row],[Wählversuche]]/AkquiseTracking[[#This Row],[Gespräche mit Empfang]],0)</f>
        <v>0</v>
      </c>
      <c r="E18" s="161"/>
      <c r="F18" s="163">
        <f>IFERROR(AkquiseTracking[[#This Row],[Gespräche mit Entscheider]]/AkquiseTracking[[#This Row],[Gespräche mit Empfang]],0)</f>
        <v>0</v>
      </c>
      <c r="G18" s="161"/>
      <c r="H18" s="163">
        <f>IFERROR(AkquiseTracking[[#This Row],[Termine vereinbart]]/AkquiseTracking[[#This Row],[Gespräche mit Empfang]],0)</f>
        <v>0</v>
      </c>
    </row>
    <row r="19" spans="1:8" ht="22.5" customHeight="1">
      <c r="A19" s="160"/>
      <c r="B19" s="161"/>
      <c r="C19" s="161"/>
      <c r="D19" s="163">
        <f>IFERROR(AkquiseTracking[[#This Row],[Wählversuche]]/AkquiseTracking[[#This Row],[Gespräche mit Empfang]],0)</f>
        <v>0</v>
      </c>
      <c r="E19" s="161"/>
      <c r="F19" s="163">
        <f>IFERROR(AkquiseTracking[[#This Row],[Gespräche mit Entscheider]]/AkquiseTracking[[#This Row],[Gespräche mit Empfang]],0)</f>
        <v>0</v>
      </c>
      <c r="G19" s="161"/>
      <c r="H19" s="163">
        <f>IFERROR(AkquiseTracking[[#This Row],[Termine vereinbart]]/AkquiseTracking[[#This Row],[Gespräche mit Empfang]],0)</f>
        <v>0</v>
      </c>
    </row>
    <row r="20" spans="1:8" ht="22.5" customHeight="1">
      <c r="A20" s="160"/>
      <c r="B20" s="161"/>
      <c r="C20" s="161"/>
      <c r="D20" s="163">
        <f>IFERROR(AkquiseTracking[[#This Row],[Wählversuche]]/AkquiseTracking[[#This Row],[Gespräche mit Empfang]],0)</f>
        <v>0</v>
      </c>
      <c r="E20" s="161"/>
      <c r="F20" s="163">
        <f>IFERROR(AkquiseTracking[[#This Row],[Gespräche mit Entscheider]]/AkquiseTracking[[#This Row],[Gespräche mit Empfang]],0)</f>
        <v>0</v>
      </c>
      <c r="G20" s="161"/>
      <c r="H20" s="163">
        <f>IFERROR(AkquiseTracking[[#This Row],[Termine vereinbart]]/AkquiseTracking[[#This Row],[Gespräche mit Empfang]],0)</f>
        <v>0</v>
      </c>
    </row>
    <row r="21" spans="1:8" ht="22.5" customHeight="1">
      <c r="A21" s="160"/>
      <c r="B21" s="161"/>
      <c r="C21" s="161"/>
      <c r="D21" s="163">
        <f>IFERROR(AkquiseTracking[[#This Row],[Wählversuche]]/AkquiseTracking[[#This Row],[Gespräche mit Empfang]],0)</f>
        <v>0</v>
      </c>
      <c r="E21" s="161"/>
      <c r="F21" s="163">
        <f>IFERROR(AkquiseTracking[[#This Row],[Gespräche mit Entscheider]]/AkquiseTracking[[#This Row],[Gespräche mit Empfang]],0)</f>
        <v>0</v>
      </c>
      <c r="G21" s="161"/>
      <c r="H21" s="163">
        <f>IFERROR(AkquiseTracking[[#This Row],[Termine vereinbart]]/AkquiseTracking[[#This Row],[Gespräche mit Empfang]],0)</f>
        <v>0</v>
      </c>
    </row>
    <row r="22" spans="1:8" ht="22.5" customHeight="1">
      <c r="A22" s="160"/>
      <c r="B22" s="161"/>
      <c r="C22" s="161"/>
      <c r="D22" s="163">
        <f>IFERROR(AkquiseTracking[[#This Row],[Wählversuche]]/AkquiseTracking[[#This Row],[Gespräche mit Empfang]],0)</f>
        <v>0</v>
      </c>
      <c r="E22" s="161"/>
      <c r="F22" s="163">
        <f>IFERROR(AkquiseTracking[[#This Row],[Gespräche mit Entscheider]]/AkquiseTracking[[#This Row],[Gespräche mit Empfang]],0)</f>
        <v>0</v>
      </c>
      <c r="G22" s="161"/>
      <c r="H22" s="163">
        <f>IFERROR(AkquiseTracking[[#This Row],[Termine vereinbart]]/AkquiseTracking[[#This Row],[Gespräche mit Empfang]],0)</f>
        <v>0</v>
      </c>
    </row>
    <row r="23" spans="1:8" ht="22.5" customHeight="1">
      <c r="A23" s="160"/>
      <c r="B23" s="161"/>
      <c r="C23" s="161"/>
      <c r="D23" s="163">
        <f>IFERROR(AkquiseTracking[[#This Row],[Wählversuche]]/AkquiseTracking[[#This Row],[Gespräche mit Empfang]],0)</f>
        <v>0</v>
      </c>
      <c r="E23" s="161"/>
      <c r="F23" s="163">
        <f>IFERROR(AkquiseTracking[[#This Row],[Gespräche mit Entscheider]]/AkquiseTracking[[#This Row],[Gespräche mit Empfang]],0)</f>
        <v>0</v>
      </c>
      <c r="G23" s="161"/>
      <c r="H23" s="163">
        <f>IFERROR(AkquiseTracking[[#This Row],[Termine vereinbart]]/AkquiseTracking[[#This Row],[Gespräche mit Empfang]],0)</f>
        <v>0</v>
      </c>
    </row>
    <row r="24" spans="1:8" ht="22.5" customHeight="1">
      <c r="A24" s="160"/>
      <c r="B24" s="161"/>
      <c r="C24" s="161"/>
      <c r="D24" s="163">
        <f>IFERROR(AkquiseTracking[[#This Row],[Wählversuche]]/AkquiseTracking[[#This Row],[Gespräche mit Empfang]],0)</f>
        <v>0</v>
      </c>
      <c r="E24" s="161"/>
      <c r="F24" s="163">
        <f>IFERROR(AkquiseTracking[[#This Row],[Gespräche mit Entscheider]]/AkquiseTracking[[#This Row],[Gespräche mit Empfang]],0)</f>
        <v>0</v>
      </c>
      <c r="G24" s="161"/>
      <c r="H24" s="163">
        <f>IFERROR(AkquiseTracking[[#This Row],[Termine vereinbart]]/AkquiseTracking[[#This Row],[Gespräche mit Empfang]],0)</f>
        <v>0</v>
      </c>
    </row>
    <row r="25" spans="1:8" ht="22.5" customHeight="1">
      <c r="A25" s="160"/>
      <c r="B25" s="161"/>
      <c r="C25" s="161"/>
      <c r="D25" s="163">
        <f>IFERROR(AkquiseTracking[[#This Row],[Wählversuche]]/AkquiseTracking[[#This Row],[Gespräche mit Empfang]],0)</f>
        <v>0</v>
      </c>
      <c r="E25" s="161"/>
      <c r="F25" s="163">
        <f>IFERROR(AkquiseTracking[[#This Row],[Gespräche mit Entscheider]]/AkquiseTracking[[#This Row],[Gespräche mit Empfang]],0)</f>
        <v>0</v>
      </c>
      <c r="G25" s="161"/>
      <c r="H25" s="163">
        <f>IFERROR(AkquiseTracking[[#This Row],[Termine vereinbart]]/AkquiseTracking[[#This Row],[Gespräche mit Empfang]],0)</f>
        <v>0</v>
      </c>
    </row>
    <row r="26" spans="1:8" ht="22.5" customHeight="1">
      <c r="A26" s="160"/>
      <c r="B26" s="161"/>
      <c r="C26" s="161"/>
      <c r="D26" s="163">
        <f>IFERROR(AkquiseTracking[[#This Row],[Wählversuche]]/AkquiseTracking[[#This Row],[Gespräche mit Empfang]],0)</f>
        <v>0</v>
      </c>
      <c r="E26" s="161"/>
      <c r="F26" s="163">
        <f>IFERROR(AkquiseTracking[[#This Row],[Gespräche mit Entscheider]]/AkquiseTracking[[#This Row],[Gespräche mit Empfang]],0)</f>
        <v>0</v>
      </c>
      <c r="G26" s="161"/>
      <c r="H26" s="163">
        <f>IFERROR(AkquiseTracking[[#This Row],[Termine vereinbart]]/AkquiseTracking[[#This Row],[Gespräche mit Empfang]],0)</f>
        <v>0</v>
      </c>
    </row>
    <row r="27" spans="1:8" ht="22.5" customHeight="1">
      <c r="A27" s="160"/>
      <c r="B27" s="161"/>
      <c r="C27" s="161"/>
      <c r="D27" s="163">
        <f>IFERROR(AkquiseTracking[[#This Row],[Wählversuche]]/AkquiseTracking[[#This Row],[Gespräche mit Empfang]],0)</f>
        <v>0</v>
      </c>
      <c r="E27" s="161"/>
      <c r="F27" s="163">
        <f>IFERROR(AkquiseTracking[[#This Row],[Gespräche mit Entscheider]]/AkquiseTracking[[#This Row],[Gespräche mit Empfang]],0)</f>
        <v>0</v>
      </c>
      <c r="G27" s="161"/>
      <c r="H27" s="163">
        <f>IFERROR(AkquiseTracking[[#This Row],[Termine vereinbart]]/AkquiseTracking[[#This Row],[Gespräche mit Empfang]],0)</f>
        <v>0</v>
      </c>
    </row>
    <row r="28" spans="1:8" ht="22.5" customHeight="1">
      <c r="A28" s="160"/>
      <c r="B28" s="161"/>
      <c r="C28" s="161"/>
      <c r="D28" s="163">
        <f>IFERROR(AkquiseTracking[[#This Row],[Wählversuche]]/AkquiseTracking[[#This Row],[Gespräche mit Empfang]],0)</f>
        <v>0</v>
      </c>
      <c r="E28" s="161"/>
      <c r="F28" s="163">
        <f>IFERROR(AkquiseTracking[[#This Row],[Gespräche mit Entscheider]]/AkquiseTracking[[#This Row],[Gespräche mit Empfang]],0)</f>
        <v>0</v>
      </c>
      <c r="G28" s="161"/>
      <c r="H28" s="163">
        <f>IFERROR(AkquiseTracking[[#This Row],[Termine vereinbart]]/AkquiseTracking[[#This Row],[Gespräche mit Empfang]],0)</f>
        <v>0</v>
      </c>
    </row>
    <row r="29" spans="1:8" ht="22.5" customHeight="1">
      <c r="A29" s="160"/>
      <c r="B29" s="161"/>
      <c r="C29" s="161"/>
      <c r="D29" s="163">
        <f>IFERROR(AkquiseTracking[[#This Row],[Wählversuche]]/AkquiseTracking[[#This Row],[Gespräche mit Empfang]],0)</f>
        <v>0</v>
      </c>
      <c r="E29" s="161"/>
      <c r="F29" s="163">
        <f>IFERROR(AkquiseTracking[[#This Row],[Gespräche mit Entscheider]]/AkquiseTracking[[#This Row],[Gespräche mit Empfang]],0)</f>
        <v>0</v>
      </c>
      <c r="G29" s="161"/>
      <c r="H29" s="163">
        <f>IFERROR(AkquiseTracking[[#This Row],[Termine vereinbart]]/AkquiseTracking[[#This Row],[Gespräche mit Empfang]],0)</f>
        <v>0</v>
      </c>
    </row>
    <row r="30" spans="1:8" ht="22.5" customHeight="1">
      <c r="A30" s="160"/>
      <c r="B30" s="161"/>
      <c r="C30" s="161"/>
      <c r="D30" s="163">
        <f>IFERROR(AkquiseTracking[[#This Row],[Wählversuche]]/AkquiseTracking[[#This Row],[Gespräche mit Empfang]],0)</f>
        <v>0</v>
      </c>
      <c r="E30" s="161"/>
      <c r="F30" s="163">
        <f>IFERROR(AkquiseTracking[[#This Row],[Gespräche mit Entscheider]]/AkquiseTracking[[#This Row],[Gespräche mit Empfang]],0)</f>
        <v>0</v>
      </c>
      <c r="G30" s="161"/>
      <c r="H30" s="163">
        <f>IFERROR(AkquiseTracking[[#This Row],[Termine vereinbart]]/AkquiseTracking[[#This Row],[Gespräche mit Empfang]],0)</f>
        <v>0</v>
      </c>
    </row>
    <row r="31" spans="1:8" ht="22.5" customHeight="1">
      <c r="A31" s="160"/>
      <c r="B31" s="161"/>
      <c r="C31" s="161"/>
      <c r="D31" s="163">
        <f>IFERROR(AkquiseTracking[[#This Row],[Wählversuche]]/AkquiseTracking[[#This Row],[Gespräche mit Empfang]],0)</f>
        <v>0</v>
      </c>
      <c r="E31" s="161"/>
      <c r="F31" s="163">
        <f>IFERROR(AkquiseTracking[[#This Row],[Gespräche mit Entscheider]]/AkquiseTracking[[#This Row],[Gespräche mit Empfang]],0)</f>
        <v>0</v>
      </c>
      <c r="G31" s="161"/>
      <c r="H31" s="163">
        <f>IFERROR(AkquiseTracking[[#This Row],[Termine vereinbart]]/AkquiseTracking[[#This Row],[Gespräche mit Empfang]],0)</f>
        <v>0</v>
      </c>
    </row>
    <row r="32" spans="1:8" ht="22.5" customHeight="1">
      <c r="A32" s="160"/>
      <c r="B32" s="161"/>
      <c r="C32" s="161"/>
      <c r="D32" s="163">
        <f>IFERROR(AkquiseTracking[[#This Row],[Wählversuche]]/AkquiseTracking[[#This Row],[Gespräche mit Empfang]],0)</f>
        <v>0</v>
      </c>
      <c r="E32" s="161"/>
      <c r="F32" s="163">
        <f>IFERROR(AkquiseTracking[[#This Row],[Gespräche mit Entscheider]]/AkquiseTracking[[#This Row],[Gespräche mit Empfang]],0)</f>
        <v>0</v>
      </c>
      <c r="G32" s="161"/>
      <c r="H32" s="163">
        <f>IFERROR(AkquiseTracking[[#This Row],[Termine vereinbart]]/AkquiseTracking[[#This Row],[Gespräche mit Empfang]],0)</f>
        <v>0</v>
      </c>
    </row>
    <row r="33" spans="1:8" ht="22.5" customHeight="1">
      <c r="A33" s="160"/>
      <c r="B33" s="161"/>
      <c r="C33" s="161"/>
      <c r="D33" s="163">
        <f>IFERROR(AkquiseTracking[[#This Row],[Wählversuche]]/AkquiseTracking[[#This Row],[Gespräche mit Empfang]],0)</f>
        <v>0</v>
      </c>
      <c r="E33" s="161"/>
      <c r="F33" s="163">
        <f>IFERROR(AkquiseTracking[[#This Row],[Gespräche mit Entscheider]]/AkquiseTracking[[#This Row],[Gespräche mit Empfang]],0)</f>
        <v>0</v>
      </c>
      <c r="G33" s="161"/>
      <c r="H33" s="163">
        <f>IFERROR(AkquiseTracking[[#This Row],[Termine vereinbart]]/AkquiseTracking[[#This Row],[Gespräche mit Empfang]],0)</f>
        <v>0</v>
      </c>
    </row>
    <row r="34" spans="1:8" ht="22.5" customHeight="1">
      <c r="A34" s="160"/>
      <c r="B34" s="161"/>
      <c r="C34" s="161"/>
      <c r="D34" s="163">
        <f>IFERROR(AkquiseTracking[[#This Row],[Wählversuche]]/AkquiseTracking[[#This Row],[Gespräche mit Empfang]],0)</f>
        <v>0</v>
      </c>
      <c r="E34" s="161"/>
      <c r="F34" s="163">
        <f>IFERROR(AkquiseTracking[[#This Row],[Gespräche mit Entscheider]]/AkquiseTracking[[#This Row],[Gespräche mit Empfang]],0)</f>
        <v>0</v>
      </c>
      <c r="G34" s="161"/>
      <c r="H34" s="163">
        <f>IFERROR(AkquiseTracking[[#This Row],[Termine vereinbart]]/AkquiseTracking[[#This Row],[Gespräche mit Empfang]],0)</f>
        <v>0</v>
      </c>
    </row>
    <row r="35" spans="1:8" ht="22.5" customHeight="1">
      <c r="A35" s="160"/>
      <c r="B35" s="161"/>
      <c r="C35" s="161"/>
      <c r="D35" s="163">
        <f>IFERROR(AkquiseTracking[[#This Row],[Wählversuche]]/AkquiseTracking[[#This Row],[Gespräche mit Empfang]],0)</f>
        <v>0</v>
      </c>
      <c r="E35" s="161"/>
      <c r="F35" s="163">
        <f>IFERROR(AkquiseTracking[[#This Row],[Gespräche mit Entscheider]]/AkquiseTracking[[#This Row],[Gespräche mit Empfang]],0)</f>
        <v>0</v>
      </c>
      <c r="G35" s="161"/>
      <c r="H35" s="163">
        <f>IFERROR(AkquiseTracking[[#This Row],[Termine vereinbart]]/AkquiseTracking[[#This Row],[Gespräche mit Empfang]],0)</f>
        <v>0</v>
      </c>
    </row>
    <row r="36" spans="1:8" ht="22.5" customHeight="1">
      <c r="A36" s="160"/>
      <c r="B36" s="161"/>
      <c r="C36" s="161"/>
      <c r="D36" s="163">
        <f>IFERROR(AkquiseTracking[[#This Row],[Wählversuche]]/AkquiseTracking[[#This Row],[Gespräche mit Empfang]],0)</f>
        <v>0</v>
      </c>
      <c r="E36" s="161"/>
      <c r="F36" s="163">
        <f>IFERROR(AkquiseTracking[[#This Row],[Gespräche mit Entscheider]]/AkquiseTracking[[#This Row],[Gespräche mit Empfang]],0)</f>
        <v>0</v>
      </c>
      <c r="G36" s="161"/>
      <c r="H36" s="163">
        <f>IFERROR(AkquiseTracking[[#This Row],[Termine vereinbart]]/AkquiseTracking[[#This Row],[Gespräche mit Empfang]],0)</f>
        <v>0</v>
      </c>
    </row>
    <row r="37" spans="1:8" ht="22.5" customHeight="1">
      <c r="A37" s="160"/>
      <c r="B37" s="161"/>
      <c r="C37" s="161"/>
      <c r="D37" s="163">
        <f>IFERROR(AkquiseTracking[[#This Row],[Wählversuche]]/AkquiseTracking[[#This Row],[Gespräche mit Empfang]],0)</f>
        <v>0</v>
      </c>
      <c r="E37" s="161"/>
      <c r="F37" s="163">
        <f>IFERROR(AkquiseTracking[[#This Row],[Gespräche mit Entscheider]]/AkquiseTracking[[#This Row],[Gespräche mit Empfang]],0)</f>
        <v>0</v>
      </c>
      <c r="G37" s="161"/>
      <c r="H37" s="163">
        <f>IFERROR(AkquiseTracking[[#This Row],[Termine vereinbart]]/AkquiseTracking[[#This Row],[Gespräche mit Empfang]],0)</f>
        <v>0</v>
      </c>
    </row>
    <row r="38" spans="1:8" ht="22.5" customHeight="1">
      <c r="A38" s="160"/>
      <c r="B38" s="161"/>
      <c r="C38" s="161"/>
      <c r="D38" s="163">
        <f>IFERROR(AkquiseTracking[[#This Row],[Wählversuche]]/AkquiseTracking[[#This Row],[Gespräche mit Empfang]],0)</f>
        <v>0</v>
      </c>
      <c r="E38" s="161"/>
      <c r="F38" s="163">
        <f>IFERROR(AkquiseTracking[[#This Row],[Gespräche mit Entscheider]]/AkquiseTracking[[#This Row],[Gespräche mit Empfang]],0)</f>
        <v>0</v>
      </c>
      <c r="G38" s="161"/>
      <c r="H38" s="163">
        <f>IFERROR(AkquiseTracking[[#This Row],[Termine vereinbart]]/AkquiseTracking[[#This Row],[Gespräche mit Empfang]],0)</f>
        <v>0</v>
      </c>
    </row>
    <row r="39" spans="1:8" ht="22.5" customHeight="1">
      <c r="A39" s="160"/>
      <c r="B39" s="161"/>
      <c r="C39" s="161"/>
      <c r="D39" s="163">
        <f>IFERROR(AkquiseTracking[[#This Row],[Wählversuche]]/AkquiseTracking[[#This Row],[Gespräche mit Empfang]],0)</f>
        <v>0</v>
      </c>
      <c r="E39" s="161"/>
      <c r="F39" s="163">
        <f>IFERROR(AkquiseTracking[[#This Row],[Gespräche mit Entscheider]]/AkquiseTracking[[#This Row],[Gespräche mit Empfang]],0)</f>
        <v>0</v>
      </c>
      <c r="G39" s="161"/>
      <c r="H39" s="163">
        <f>IFERROR(AkquiseTracking[[#This Row],[Termine vereinbart]]/AkquiseTracking[[#This Row],[Gespräche mit Empfang]],0)</f>
        <v>0</v>
      </c>
    </row>
    <row r="40" spans="1:8" ht="22.5" customHeight="1">
      <c r="A40" s="160"/>
      <c r="B40" s="161"/>
      <c r="C40" s="161"/>
      <c r="D40" s="163">
        <f>IFERROR(AkquiseTracking[[#This Row],[Wählversuche]]/AkquiseTracking[[#This Row],[Gespräche mit Empfang]],0)</f>
        <v>0</v>
      </c>
      <c r="E40" s="161"/>
      <c r="F40" s="163">
        <f>IFERROR(AkquiseTracking[[#This Row],[Gespräche mit Entscheider]]/AkquiseTracking[[#This Row],[Gespräche mit Empfang]],0)</f>
        <v>0</v>
      </c>
      <c r="G40" s="161"/>
      <c r="H40" s="163">
        <f>IFERROR(AkquiseTracking[[#This Row],[Termine vereinbart]]/AkquiseTracking[[#This Row],[Gespräche mit Empfang]],0)</f>
        <v>0</v>
      </c>
    </row>
    <row r="41" spans="1:8" ht="22.5" customHeight="1">
      <c r="A41" s="160"/>
      <c r="B41" s="161"/>
      <c r="C41" s="161"/>
      <c r="D41" s="163">
        <f>IFERROR(AkquiseTracking[[#This Row],[Wählversuche]]/AkquiseTracking[[#This Row],[Gespräche mit Empfang]],0)</f>
        <v>0</v>
      </c>
      <c r="E41" s="161"/>
      <c r="F41" s="163">
        <f>IFERROR(AkquiseTracking[[#This Row],[Gespräche mit Entscheider]]/AkquiseTracking[[#This Row],[Gespräche mit Empfang]],0)</f>
        <v>0</v>
      </c>
      <c r="G41" s="161"/>
      <c r="H41" s="163">
        <f>IFERROR(AkquiseTracking[[#This Row],[Termine vereinbart]]/AkquiseTracking[[#This Row],[Gespräche mit Empfang]],0)</f>
        <v>0</v>
      </c>
    </row>
    <row r="42" spans="1:8" ht="22.5" customHeight="1">
      <c r="A42" s="160"/>
      <c r="B42" s="161"/>
      <c r="C42" s="161"/>
      <c r="D42" s="163">
        <f>IFERROR(AkquiseTracking[[#This Row],[Wählversuche]]/AkquiseTracking[[#This Row],[Gespräche mit Empfang]],0)</f>
        <v>0</v>
      </c>
      <c r="E42" s="161"/>
      <c r="F42" s="163">
        <f>IFERROR(AkquiseTracking[[#This Row],[Gespräche mit Entscheider]]/AkquiseTracking[[#This Row],[Gespräche mit Empfang]],0)</f>
        <v>0</v>
      </c>
      <c r="G42" s="161"/>
      <c r="H42" s="163">
        <f>IFERROR(AkquiseTracking[[#This Row],[Termine vereinbart]]/AkquiseTracking[[#This Row],[Gespräche mit Empfang]],0)</f>
        <v>0</v>
      </c>
    </row>
    <row r="43" spans="1:8" ht="22.5" customHeight="1">
      <c r="A43" s="160"/>
      <c r="B43" s="161"/>
      <c r="C43" s="161"/>
      <c r="D43" s="163">
        <f>IFERROR(AkquiseTracking[[#This Row],[Wählversuche]]/AkquiseTracking[[#This Row],[Gespräche mit Empfang]],0)</f>
        <v>0</v>
      </c>
      <c r="E43" s="161"/>
      <c r="F43" s="163">
        <f>IFERROR(AkquiseTracking[[#This Row],[Gespräche mit Entscheider]]/AkquiseTracking[[#This Row],[Gespräche mit Empfang]],0)</f>
        <v>0</v>
      </c>
      <c r="G43" s="161"/>
      <c r="H43" s="163">
        <f>IFERROR(AkquiseTracking[[#This Row],[Termine vereinbart]]/AkquiseTracking[[#This Row],[Gespräche mit Empfang]],0)</f>
        <v>0</v>
      </c>
    </row>
    <row r="44" spans="1:8" ht="22.5" customHeight="1">
      <c r="A44" s="160"/>
      <c r="B44" s="161"/>
      <c r="C44" s="161"/>
      <c r="D44" s="163">
        <f>IFERROR(AkquiseTracking[[#This Row],[Wählversuche]]/AkquiseTracking[[#This Row],[Gespräche mit Empfang]],0)</f>
        <v>0</v>
      </c>
      <c r="E44" s="161"/>
      <c r="F44" s="163">
        <f>IFERROR(AkquiseTracking[[#This Row],[Gespräche mit Entscheider]]/AkquiseTracking[[#This Row],[Gespräche mit Empfang]],0)</f>
        <v>0</v>
      </c>
      <c r="G44" s="161"/>
      <c r="H44" s="163">
        <f>IFERROR(AkquiseTracking[[#This Row],[Termine vereinbart]]/AkquiseTracking[[#This Row],[Gespräche mit Empfang]],0)</f>
        <v>0</v>
      </c>
    </row>
    <row r="45" spans="1:8" ht="22.5" customHeight="1">
      <c r="A45" s="160"/>
      <c r="B45" s="161"/>
      <c r="C45" s="161"/>
      <c r="D45" s="163">
        <f>IFERROR(AkquiseTracking[[#This Row],[Wählversuche]]/AkquiseTracking[[#This Row],[Gespräche mit Empfang]],0)</f>
        <v>0</v>
      </c>
      <c r="E45" s="161"/>
      <c r="F45" s="163">
        <f>IFERROR(AkquiseTracking[[#This Row],[Gespräche mit Entscheider]]/AkquiseTracking[[#This Row],[Gespräche mit Empfang]],0)</f>
        <v>0</v>
      </c>
      <c r="G45" s="161"/>
      <c r="H45" s="163">
        <f>IFERROR(AkquiseTracking[[#This Row],[Termine vereinbart]]/AkquiseTracking[[#This Row],[Gespräche mit Empfang]],0)</f>
        <v>0</v>
      </c>
    </row>
    <row r="46" spans="1:8" ht="22.5" customHeight="1">
      <c r="A46" s="160"/>
      <c r="B46" s="161"/>
      <c r="C46" s="161"/>
      <c r="D46" s="163">
        <f>IFERROR(AkquiseTracking[[#This Row],[Wählversuche]]/AkquiseTracking[[#This Row],[Gespräche mit Empfang]],0)</f>
        <v>0</v>
      </c>
      <c r="E46" s="161"/>
      <c r="F46" s="163">
        <f>IFERROR(AkquiseTracking[[#This Row],[Gespräche mit Entscheider]]/AkquiseTracking[[#This Row],[Gespräche mit Empfang]],0)</f>
        <v>0</v>
      </c>
      <c r="G46" s="161"/>
      <c r="H46" s="163">
        <f>IFERROR(AkquiseTracking[[#This Row],[Termine vereinbart]]/AkquiseTracking[[#This Row],[Gespräche mit Empfang]],0)</f>
        <v>0</v>
      </c>
    </row>
    <row r="47" spans="1:8" ht="22.5" customHeight="1">
      <c r="A47" s="160"/>
      <c r="B47" s="161"/>
      <c r="C47" s="161"/>
      <c r="D47" s="163">
        <f>IFERROR(AkquiseTracking[[#This Row],[Wählversuche]]/AkquiseTracking[[#This Row],[Gespräche mit Empfang]],0)</f>
        <v>0</v>
      </c>
      <c r="E47" s="161"/>
      <c r="F47" s="163">
        <f>IFERROR(AkquiseTracking[[#This Row],[Gespräche mit Entscheider]]/AkquiseTracking[[#This Row],[Gespräche mit Empfang]],0)</f>
        <v>0</v>
      </c>
      <c r="G47" s="161"/>
      <c r="H47" s="163">
        <f>IFERROR(AkquiseTracking[[#This Row],[Termine vereinbart]]/AkquiseTracking[[#This Row],[Gespräche mit Empfang]],0)</f>
        <v>0</v>
      </c>
    </row>
    <row r="48" spans="1:8" ht="22.5" customHeight="1">
      <c r="A48" s="160"/>
      <c r="B48" s="161"/>
      <c r="C48" s="161"/>
      <c r="D48" s="163">
        <f>IFERROR(AkquiseTracking[[#This Row],[Wählversuche]]/AkquiseTracking[[#This Row],[Gespräche mit Empfang]],0)</f>
        <v>0</v>
      </c>
      <c r="E48" s="161"/>
      <c r="F48" s="163">
        <f>IFERROR(AkquiseTracking[[#This Row],[Gespräche mit Entscheider]]/AkquiseTracking[[#This Row],[Gespräche mit Empfang]],0)</f>
        <v>0</v>
      </c>
      <c r="G48" s="161"/>
      <c r="H48" s="163">
        <f>IFERROR(AkquiseTracking[[#This Row],[Termine vereinbart]]/AkquiseTracking[[#This Row],[Gespräche mit Empfang]],0)</f>
        <v>0</v>
      </c>
    </row>
    <row r="49" spans="1:8" ht="22.5" customHeight="1">
      <c r="A49" s="160"/>
      <c r="B49" s="161"/>
      <c r="C49" s="161"/>
      <c r="D49" s="163">
        <f>IFERROR(AkquiseTracking[[#This Row],[Wählversuche]]/AkquiseTracking[[#This Row],[Gespräche mit Empfang]],0)</f>
        <v>0</v>
      </c>
      <c r="E49" s="161"/>
      <c r="F49" s="163">
        <f>IFERROR(AkquiseTracking[[#This Row],[Gespräche mit Entscheider]]/AkquiseTracking[[#This Row],[Gespräche mit Empfang]],0)</f>
        <v>0</v>
      </c>
      <c r="G49" s="161"/>
      <c r="H49" s="163">
        <f>IFERROR(AkquiseTracking[[#This Row],[Termine vereinbart]]/AkquiseTracking[[#This Row],[Gespräche mit Empfang]],0)</f>
        <v>0</v>
      </c>
    </row>
    <row r="50" spans="1:8" ht="22.5" customHeight="1">
      <c r="A50" s="160"/>
      <c r="B50" s="161"/>
      <c r="C50" s="161"/>
      <c r="D50" s="163">
        <f>IFERROR(AkquiseTracking[[#This Row],[Wählversuche]]/AkquiseTracking[[#This Row],[Gespräche mit Empfang]],0)</f>
        <v>0</v>
      </c>
      <c r="E50" s="161"/>
      <c r="F50" s="163">
        <f>IFERROR(AkquiseTracking[[#This Row],[Gespräche mit Entscheider]]/AkquiseTracking[[#This Row],[Gespräche mit Empfang]],0)</f>
        <v>0</v>
      </c>
      <c r="G50" s="161"/>
      <c r="H50" s="163">
        <f>IFERROR(AkquiseTracking[[#This Row],[Termine vereinbart]]/AkquiseTracking[[#This Row],[Gespräche mit Empfang]],0)</f>
        <v>0</v>
      </c>
    </row>
    <row r="51" spans="1:8" ht="22.5" customHeight="1">
      <c r="A51" s="160"/>
      <c r="B51" s="161"/>
      <c r="C51" s="161"/>
      <c r="D51" s="163">
        <f>IFERROR(AkquiseTracking[[#This Row],[Wählversuche]]/AkquiseTracking[[#This Row],[Gespräche mit Empfang]],0)</f>
        <v>0</v>
      </c>
      <c r="E51" s="161"/>
      <c r="F51" s="163">
        <f>IFERROR(AkquiseTracking[[#This Row],[Gespräche mit Entscheider]]/AkquiseTracking[[#This Row],[Gespräche mit Empfang]],0)</f>
        <v>0</v>
      </c>
      <c r="G51" s="161"/>
      <c r="H51" s="163">
        <f>IFERROR(AkquiseTracking[[#This Row],[Termine vereinbart]]/AkquiseTracking[[#This Row],[Gespräche mit Empfang]],0)</f>
        <v>0</v>
      </c>
    </row>
    <row r="52" spans="1:8" ht="22.5" customHeight="1">
      <c r="A52" s="160"/>
      <c r="B52" s="161"/>
      <c r="C52" s="161"/>
      <c r="D52" s="163">
        <f>IFERROR(AkquiseTracking[[#This Row],[Wählversuche]]/AkquiseTracking[[#This Row],[Gespräche mit Empfang]],0)</f>
        <v>0</v>
      </c>
      <c r="E52" s="161"/>
      <c r="F52" s="163">
        <f>IFERROR(AkquiseTracking[[#This Row],[Gespräche mit Entscheider]]/AkquiseTracking[[#This Row],[Gespräche mit Empfang]],0)</f>
        <v>0</v>
      </c>
      <c r="G52" s="161"/>
      <c r="H52" s="163">
        <f>IFERROR(AkquiseTracking[[#This Row],[Termine vereinbart]]/AkquiseTracking[[#This Row],[Gespräche mit Empfang]],0)</f>
        <v>0</v>
      </c>
    </row>
    <row r="53" spans="1:8" ht="22.5" customHeight="1">
      <c r="A53" s="160"/>
      <c r="B53" s="161"/>
      <c r="C53" s="161"/>
      <c r="D53" s="163">
        <f>IFERROR(AkquiseTracking[[#This Row],[Wählversuche]]/AkquiseTracking[[#This Row],[Gespräche mit Empfang]],0)</f>
        <v>0</v>
      </c>
      <c r="E53" s="161"/>
      <c r="F53" s="163">
        <f>IFERROR(AkquiseTracking[[#This Row],[Gespräche mit Entscheider]]/AkquiseTracking[[#This Row],[Gespräche mit Empfang]],0)</f>
        <v>0</v>
      </c>
      <c r="G53" s="161"/>
      <c r="H53" s="163">
        <f>IFERROR(AkquiseTracking[[#This Row],[Termine vereinbart]]/AkquiseTracking[[#This Row],[Gespräche mit Empfang]],0)</f>
        <v>0</v>
      </c>
    </row>
    <row r="54" spans="1:8" ht="22.5" customHeight="1">
      <c r="A54" s="160"/>
      <c r="B54" s="161"/>
      <c r="C54" s="161"/>
      <c r="D54" s="163">
        <f>IFERROR(AkquiseTracking[[#This Row],[Wählversuche]]/AkquiseTracking[[#This Row],[Gespräche mit Empfang]],0)</f>
        <v>0</v>
      </c>
      <c r="E54" s="161"/>
      <c r="F54" s="163">
        <f>IFERROR(AkquiseTracking[[#This Row],[Gespräche mit Entscheider]]/AkquiseTracking[[#This Row],[Gespräche mit Empfang]],0)</f>
        <v>0</v>
      </c>
      <c r="G54" s="161"/>
      <c r="H54" s="163">
        <f>IFERROR(AkquiseTracking[[#This Row],[Termine vereinbart]]/AkquiseTracking[[#This Row],[Gespräche mit Empfang]],0)</f>
        <v>0</v>
      </c>
    </row>
    <row r="55" spans="1:8" ht="22.5" customHeight="1">
      <c r="A55" s="160"/>
      <c r="B55" s="161"/>
      <c r="C55" s="161"/>
      <c r="D55" s="163">
        <f>IFERROR(AkquiseTracking[[#This Row],[Wählversuche]]/AkquiseTracking[[#This Row],[Gespräche mit Empfang]],0)</f>
        <v>0</v>
      </c>
      <c r="E55" s="161"/>
      <c r="F55" s="163">
        <f>IFERROR(AkquiseTracking[[#This Row],[Gespräche mit Entscheider]]/AkquiseTracking[[#This Row],[Gespräche mit Empfang]],0)</f>
        <v>0</v>
      </c>
      <c r="G55" s="161"/>
      <c r="H55" s="163">
        <f>IFERROR(AkquiseTracking[[#This Row],[Termine vereinbart]]/AkquiseTracking[[#This Row],[Gespräche mit Empfang]],0)</f>
        <v>0</v>
      </c>
    </row>
    <row r="56" spans="1:8" ht="22.5" customHeight="1">
      <c r="A56" s="160"/>
      <c r="B56" s="161"/>
      <c r="C56" s="161"/>
      <c r="D56" s="163">
        <f>IFERROR(AkquiseTracking[[#This Row],[Wählversuche]]/AkquiseTracking[[#This Row],[Gespräche mit Empfang]],0)</f>
        <v>0</v>
      </c>
      <c r="E56" s="161"/>
      <c r="F56" s="163">
        <f>IFERROR(AkquiseTracking[[#This Row],[Gespräche mit Entscheider]]/AkquiseTracking[[#This Row],[Gespräche mit Empfang]],0)</f>
        <v>0</v>
      </c>
      <c r="G56" s="161"/>
      <c r="H56" s="163">
        <f>IFERROR(AkquiseTracking[[#This Row],[Termine vereinbart]]/AkquiseTracking[[#This Row],[Gespräche mit Empfang]],0)</f>
        <v>0</v>
      </c>
    </row>
    <row r="57" spans="1:8" ht="22.5" customHeight="1">
      <c r="A57" s="160"/>
      <c r="B57" s="161"/>
      <c r="C57" s="161"/>
      <c r="D57" s="163">
        <f>IFERROR(AkquiseTracking[[#This Row],[Wählversuche]]/AkquiseTracking[[#This Row],[Gespräche mit Empfang]],0)</f>
        <v>0</v>
      </c>
      <c r="E57" s="161"/>
      <c r="F57" s="163">
        <f>IFERROR(AkquiseTracking[[#This Row],[Gespräche mit Entscheider]]/AkquiseTracking[[#This Row],[Gespräche mit Empfang]],0)</f>
        <v>0</v>
      </c>
      <c r="G57" s="161"/>
      <c r="H57" s="163">
        <f>IFERROR(AkquiseTracking[[#This Row],[Termine vereinbart]]/AkquiseTracking[[#This Row],[Gespräche mit Empfang]],0)</f>
        <v>0</v>
      </c>
    </row>
    <row r="58" spans="1:8" ht="22.5" customHeight="1">
      <c r="A58" s="160"/>
      <c r="B58" s="161"/>
      <c r="C58" s="161"/>
      <c r="D58" s="163">
        <f>IFERROR(AkquiseTracking[[#This Row],[Wählversuche]]/AkquiseTracking[[#This Row],[Gespräche mit Empfang]],0)</f>
        <v>0</v>
      </c>
      <c r="E58" s="161"/>
      <c r="F58" s="163">
        <f>IFERROR(AkquiseTracking[[#This Row],[Gespräche mit Entscheider]]/AkquiseTracking[[#This Row],[Gespräche mit Empfang]],0)</f>
        <v>0</v>
      </c>
      <c r="G58" s="161"/>
      <c r="H58" s="163">
        <f>IFERROR(AkquiseTracking[[#This Row],[Termine vereinbart]]/AkquiseTracking[[#This Row],[Gespräche mit Empfang]],0)</f>
        <v>0</v>
      </c>
    </row>
    <row r="59" spans="1:8" ht="22.5" customHeight="1">
      <c r="A59" s="160"/>
      <c r="B59" s="161"/>
      <c r="C59" s="161"/>
      <c r="D59" s="163">
        <f>IFERROR(AkquiseTracking[[#This Row],[Wählversuche]]/AkquiseTracking[[#This Row],[Gespräche mit Empfang]],0)</f>
        <v>0</v>
      </c>
      <c r="E59" s="161"/>
      <c r="F59" s="163">
        <f>IFERROR(AkquiseTracking[[#This Row],[Gespräche mit Entscheider]]/AkquiseTracking[[#This Row],[Gespräche mit Empfang]],0)</f>
        <v>0</v>
      </c>
      <c r="G59" s="161"/>
      <c r="H59" s="163">
        <f>IFERROR(AkquiseTracking[[#This Row],[Termine vereinbart]]/AkquiseTracking[[#This Row],[Gespräche mit Empfang]],0)</f>
        <v>0</v>
      </c>
    </row>
    <row r="60" spans="1:8" ht="22.5" customHeight="1">
      <c r="A60" s="160"/>
      <c r="B60" s="161"/>
      <c r="C60" s="161"/>
      <c r="D60" s="163">
        <f>IFERROR(AkquiseTracking[[#This Row],[Wählversuche]]/AkquiseTracking[[#This Row],[Gespräche mit Empfang]],0)</f>
        <v>0</v>
      </c>
      <c r="E60" s="161"/>
      <c r="F60" s="163">
        <f>IFERROR(AkquiseTracking[[#This Row],[Gespräche mit Entscheider]]/AkquiseTracking[[#This Row],[Gespräche mit Empfang]],0)</f>
        <v>0</v>
      </c>
      <c r="G60" s="161"/>
      <c r="H60" s="163">
        <f>IFERROR(AkquiseTracking[[#This Row],[Termine vereinbart]]/AkquiseTracking[[#This Row],[Gespräche mit Empfang]],0)</f>
        <v>0</v>
      </c>
    </row>
    <row r="61" spans="1:8" ht="22.5" customHeight="1">
      <c r="A61" s="160"/>
      <c r="B61" s="161"/>
      <c r="C61" s="161"/>
      <c r="D61" s="163">
        <f>IFERROR(AkquiseTracking[[#This Row],[Wählversuche]]/AkquiseTracking[[#This Row],[Gespräche mit Empfang]],0)</f>
        <v>0</v>
      </c>
      <c r="E61" s="161"/>
      <c r="F61" s="163">
        <f>IFERROR(AkquiseTracking[[#This Row],[Gespräche mit Entscheider]]/AkquiseTracking[[#This Row],[Gespräche mit Empfang]],0)</f>
        <v>0</v>
      </c>
      <c r="G61" s="161"/>
      <c r="H61" s="163">
        <f>IFERROR(AkquiseTracking[[#This Row],[Termine vereinbart]]/AkquiseTracking[[#This Row],[Gespräche mit Empfang]],0)</f>
        <v>0</v>
      </c>
    </row>
    <row r="62" spans="1:8" ht="22.5" customHeight="1">
      <c r="A62" s="160"/>
      <c r="B62" s="161"/>
      <c r="C62" s="161"/>
      <c r="D62" s="163">
        <f>IFERROR(AkquiseTracking[[#This Row],[Wählversuche]]/AkquiseTracking[[#This Row],[Gespräche mit Empfang]],0)</f>
        <v>0</v>
      </c>
      <c r="E62" s="161"/>
      <c r="F62" s="163">
        <f>IFERROR(AkquiseTracking[[#This Row],[Gespräche mit Entscheider]]/AkquiseTracking[[#This Row],[Gespräche mit Empfang]],0)</f>
        <v>0</v>
      </c>
      <c r="G62" s="161"/>
      <c r="H62" s="163">
        <f>IFERROR(AkquiseTracking[[#This Row],[Termine vereinbart]]/AkquiseTracking[[#This Row],[Gespräche mit Empfang]],0)</f>
        <v>0</v>
      </c>
    </row>
    <row r="63" spans="1:8" ht="22.5" customHeight="1">
      <c r="A63" s="160"/>
      <c r="B63" s="161"/>
      <c r="C63" s="161"/>
      <c r="D63" s="163">
        <f>IFERROR(AkquiseTracking[[#This Row],[Wählversuche]]/AkquiseTracking[[#This Row],[Gespräche mit Empfang]],0)</f>
        <v>0</v>
      </c>
      <c r="E63" s="161"/>
      <c r="F63" s="163">
        <f>IFERROR(AkquiseTracking[[#This Row],[Gespräche mit Entscheider]]/AkquiseTracking[[#This Row],[Gespräche mit Empfang]],0)</f>
        <v>0</v>
      </c>
      <c r="G63" s="161"/>
      <c r="H63" s="163">
        <f>IFERROR(AkquiseTracking[[#This Row],[Termine vereinbart]]/AkquiseTracking[[#This Row],[Gespräche mit Empfang]],0)</f>
        <v>0</v>
      </c>
    </row>
    <row r="64" spans="1:8" ht="22.5" customHeight="1">
      <c r="A64" s="160"/>
      <c r="B64" s="161"/>
      <c r="C64" s="161"/>
      <c r="D64" s="163">
        <f>IFERROR(AkquiseTracking[[#This Row],[Wählversuche]]/AkquiseTracking[[#This Row],[Gespräche mit Empfang]],0)</f>
        <v>0</v>
      </c>
      <c r="E64" s="161"/>
      <c r="F64" s="163">
        <f>IFERROR(AkquiseTracking[[#This Row],[Gespräche mit Entscheider]]/AkquiseTracking[[#This Row],[Gespräche mit Empfang]],0)</f>
        <v>0</v>
      </c>
      <c r="G64" s="161"/>
      <c r="H64" s="163">
        <f>IFERROR(AkquiseTracking[[#This Row],[Termine vereinbart]]/AkquiseTracking[[#This Row],[Gespräche mit Empfang]],0)</f>
        <v>0</v>
      </c>
    </row>
    <row r="65" spans="1:8" ht="22.5" customHeight="1">
      <c r="A65" s="160"/>
      <c r="B65" s="161"/>
      <c r="C65" s="161"/>
      <c r="D65" s="163">
        <f>IFERROR(AkquiseTracking[[#This Row],[Wählversuche]]/AkquiseTracking[[#This Row],[Gespräche mit Empfang]],0)</f>
        <v>0</v>
      </c>
      <c r="E65" s="161"/>
      <c r="F65" s="163">
        <f>IFERROR(AkquiseTracking[[#This Row],[Gespräche mit Entscheider]]/AkquiseTracking[[#This Row],[Gespräche mit Empfang]],0)</f>
        <v>0</v>
      </c>
      <c r="G65" s="161"/>
      <c r="H65" s="163">
        <f>IFERROR(AkquiseTracking[[#This Row],[Termine vereinbart]]/AkquiseTracking[[#This Row],[Gespräche mit Empfang]],0)</f>
        <v>0</v>
      </c>
    </row>
    <row r="66" spans="1:8" ht="22.5" customHeight="1">
      <c r="A66" s="160"/>
      <c r="B66" s="161"/>
      <c r="C66" s="161"/>
      <c r="D66" s="163">
        <f>IFERROR(AkquiseTracking[[#This Row],[Wählversuche]]/AkquiseTracking[[#This Row],[Gespräche mit Empfang]],0)</f>
        <v>0</v>
      </c>
      <c r="E66" s="161"/>
      <c r="F66" s="163">
        <f>IFERROR(AkquiseTracking[[#This Row],[Gespräche mit Entscheider]]/AkquiseTracking[[#This Row],[Gespräche mit Empfang]],0)</f>
        <v>0</v>
      </c>
      <c r="G66" s="161"/>
      <c r="H66" s="163">
        <f>IFERROR(AkquiseTracking[[#This Row],[Termine vereinbart]]/AkquiseTracking[[#This Row],[Gespräche mit Empfang]],0)</f>
        <v>0</v>
      </c>
    </row>
    <row r="67" spans="1:8" ht="22.5" customHeight="1">
      <c r="A67" s="160"/>
      <c r="B67" s="161"/>
      <c r="C67" s="161"/>
      <c r="D67" s="163">
        <f>IFERROR(AkquiseTracking[[#This Row],[Wählversuche]]/AkquiseTracking[[#This Row],[Gespräche mit Empfang]],0)</f>
        <v>0</v>
      </c>
      <c r="E67" s="161"/>
      <c r="F67" s="163">
        <f>IFERROR(AkquiseTracking[[#This Row],[Gespräche mit Entscheider]]/AkquiseTracking[[#This Row],[Gespräche mit Empfang]],0)</f>
        <v>0</v>
      </c>
      <c r="G67" s="161"/>
      <c r="H67" s="163">
        <f>IFERROR(AkquiseTracking[[#This Row],[Termine vereinbart]]/AkquiseTracking[[#This Row],[Gespräche mit Empfang]],0)</f>
        <v>0</v>
      </c>
    </row>
    <row r="68" spans="1:8" ht="22.5" customHeight="1">
      <c r="A68" s="160"/>
      <c r="B68" s="161"/>
      <c r="C68" s="161"/>
      <c r="D68" s="163">
        <f>IFERROR(AkquiseTracking[[#This Row],[Wählversuche]]/AkquiseTracking[[#This Row],[Gespräche mit Empfang]],0)</f>
        <v>0</v>
      </c>
      <c r="E68" s="161"/>
      <c r="F68" s="163">
        <f>IFERROR(AkquiseTracking[[#This Row],[Gespräche mit Entscheider]]/AkquiseTracking[[#This Row],[Gespräche mit Empfang]],0)</f>
        <v>0</v>
      </c>
      <c r="G68" s="161"/>
      <c r="H68" s="163">
        <f>IFERROR(AkquiseTracking[[#This Row],[Termine vereinbart]]/AkquiseTracking[[#This Row],[Gespräche mit Empfang]],0)</f>
        <v>0</v>
      </c>
    </row>
    <row r="69" spans="1:8" ht="22.5" customHeight="1">
      <c r="A69" s="160"/>
      <c r="B69" s="161"/>
      <c r="C69" s="161"/>
      <c r="D69" s="163">
        <f>IFERROR(AkquiseTracking[[#This Row],[Wählversuche]]/AkquiseTracking[[#This Row],[Gespräche mit Empfang]],0)</f>
        <v>0</v>
      </c>
      <c r="E69" s="161"/>
      <c r="F69" s="163">
        <f>IFERROR(AkquiseTracking[[#This Row],[Gespräche mit Entscheider]]/AkquiseTracking[[#This Row],[Gespräche mit Empfang]],0)</f>
        <v>0</v>
      </c>
      <c r="G69" s="161"/>
      <c r="H69" s="163">
        <f>IFERROR(AkquiseTracking[[#This Row],[Termine vereinbart]]/AkquiseTracking[[#This Row],[Gespräche mit Empfang]],0)</f>
        <v>0</v>
      </c>
    </row>
    <row r="70" spans="1:8" ht="22.5" customHeight="1">
      <c r="A70" s="160"/>
      <c r="B70" s="161"/>
      <c r="C70" s="161"/>
      <c r="D70" s="163">
        <f>IFERROR(AkquiseTracking[[#This Row],[Wählversuche]]/AkquiseTracking[[#This Row],[Gespräche mit Empfang]],0)</f>
        <v>0</v>
      </c>
      <c r="E70" s="161"/>
      <c r="F70" s="163">
        <f>IFERROR(AkquiseTracking[[#This Row],[Gespräche mit Entscheider]]/AkquiseTracking[[#This Row],[Gespräche mit Empfang]],0)</f>
        <v>0</v>
      </c>
      <c r="G70" s="161"/>
      <c r="H70" s="163">
        <f>IFERROR(AkquiseTracking[[#This Row],[Termine vereinbart]]/AkquiseTracking[[#This Row],[Gespräche mit Empfang]],0)</f>
        <v>0</v>
      </c>
    </row>
    <row r="71" spans="1:8" ht="22.5" customHeight="1">
      <c r="A71" s="160"/>
      <c r="B71" s="161"/>
      <c r="C71" s="161"/>
      <c r="D71" s="163">
        <f>IFERROR(AkquiseTracking[[#This Row],[Wählversuche]]/AkquiseTracking[[#This Row],[Gespräche mit Empfang]],0)</f>
        <v>0</v>
      </c>
      <c r="E71" s="161"/>
      <c r="F71" s="163">
        <f>IFERROR(AkquiseTracking[[#This Row],[Gespräche mit Entscheider]]/AkquiseTracking[[#This Row],[Gespräche mit Empfang]],0)</f>
        <v>0</v>
      </c>
      <c r="G71" s="161"/>
      <c r="H71" s="163">
        <f>IFERROR(AkquiseTracking[[#This Row],[Termine vereinbart]]/AkquiseTracking[[#This Row],[Gespräche mit Empfang]],0)</f>
        <v>0</v>
      </c>
    </row>
    <row r="72" spans="1:8" ht="22.5" customHeight="1">
      <c r="A72" s="160"/>
      <c r="B72" s="161"/>
      <c r="C72" s="161"/>
      <c r="D72" s="163">
        <f>IFERROR(AkquiseTracking[[#This Row],[Wählversuche]]/AkquiseTracking[[#This Row],[Gespräche mit Empfang]],0)</f>
        <v>0</v>
      </c>
      <c r="E72" s="161"/>
      <c r="F72" s="163">
        <f>IFERROR(AkquiseTracking[[#This Row],[Gespräche mit Entscheider]]/AkquiseTracking[[#This Row],[Gespräche mit Empfang]],0)</f>
        <v>0</v>
      </c>
      <c r="G72" s="161"/>
      <c r="H72" s="163">
        <f>IFERROR(AkquiseTracking[[#This Row],[Termine vereinbart]]/AkquiseTracking[[#This Row],[Gespräche mit Empfang]],0)</f>
        <v>0</v>
      </c>
    </row>
    <row r="73" spans="1:8" ht="22.5" customHeight="1">
      <c r="A73" s="160"/>
      <c r="B73" s="161"/>
      <c r="C73" s="161"/>
      <c r="D73" s="163">
        <f>IFERROR(AkquiseTracking[[#This Row],[Wählversuche]]/AkquiseTracking[[#This Row],[Gespräche mit Empfang]],0)</f>
        <v>0</v>
      </c>
      <c r="E73" s="161"/>
      <c r="F73" s="163">
        <f>IFERROR(AkquiseTracking[[#This Row],[Gespräche mit Entscheider]]/AkquiseTracking[[#This Row],[Gespräche mit Empfang]],0)</f>
        <v>0</v>
      </c>
      <c r="G73" s="161"/>
      <c r="H73" s="163">
        <f>IFERROR(AkquiseTracking[[#This Row],[Termine vereinbart]]/AkquiseTracking[[#This Row],[Gespräche mit Empfang]],0)</f>
        <v>0</v>
      </c>
    </row>
    <row r="74" spans="1:8" ht="22.5" customHeight="1">
      <c r="A74" s="160"/>
      <c r="B74" s="161"/>
      <c r="C74" s="161"/>
      <c r="D74" s="163">
        <f>IFERROR(AkquiseTracking[[#This Row],[Wählversuche]]/AkquiseTracking[[#This Row],[Gespräche mit Empfang]],0)</f>
        <v>0</v>
      </c>
      <c r="E74" s="161"/>
      <c r="F74" s="163">
        <f>IFERROR(AkquiseTracking[[#This Row],[Gespräche mit Entscheider]]/AkquiseTracking[[#This Row],[Gespräche mit Empfang]],0)</f>
        <v>0</v>
      </c>
      <c r="G74" s="161"/>
      <c r="H74" s="163">
        <f>IFERROR(AkquiseTracking[[#This Row],[Termine vereinbart]]/AkquiseTracking[[#This Row],[Gespräche mit Empfang]],0)</f>
        <v>0</v>
      </c>
    </row>
    <row r="75" spans="1:8" ht="22.5" customHeight="1">
      <c r="A75" s="160"/>
      <c r="B75" s="161"/>
      <c r="C75" s="161"/>
      <c r="D75" s="163">
        <f>IFERROR(AkquiseTracking[[#This Row],[Wählversuche]]/AkquiseTracking[[#This Row],[Gespräche mit Empfang]],0)</f>
        <v>0</v>
      </c>
      <c r="E75" s="161"/>
      <c r="F75" s="163">
        <f>IFERROR(AkquiseTracking[[#This Row],[Gespräche mit Entscheider]]/AkquiseTracking[[#This Row],[Gespräche mit Empfang]],0)</f>
        <v>0</v>
      </c>
      <c r="G75" s="161"/>
      <c r="H75" s="163">
        <f>IFERROR(AkquiseTracking[[#This Row],[Termine vereinbart]]/AkquiseTracking[[#This Row],[Gespräche mit Empfang]],0)</f>
        <v>0</v>
      </c>
    </row>
    <row r="76" spans="1:8" ht="22.5" customHeight="1">
      <c r="A76" s="160"/>
      <c r="B76" s="161"/>
      <c r="C76" s="161"/>
      <c r="D76" s="163">
        <f>IFERROR(AkquiseTracking[[#This Row],[Wählversuche]]/AkquiseTracking[[#This Row],[Gespräche mit Empfang]],0)</f>
        <v>0</v>
      </c>
      <c r="E76" s="161"/>
      <c r="F76" s="163">
        <f>IFERROR(AkquiseTracking[[#This Row],[Gespräche mit Entscheider]]/AkquiseTracking[[#This Row],[Gespräche mit Empfang]],0)</f>
        <v>0</v>
      </c>
      <c r="G76" s="161"/>
      <c r="H76" s="163">
        <f>IFERROR(AkquiseTracking[[#This Row],[Termine vereinbart]]/AkquiseTracking[[#This Row],[Gespräche mit Empfang]],0)</f>
        <v>0</v>
      </c>
    </row>
    <row r="77" spans="1:8" ht="22.5" customHeight="1">
      <c r="A77" s="160"/>
      <c r="B77" s="161"/>
      <c r="C77" s="161"/>
      <c r="D77" s="163">
        <f>IFERROR(AkquiseTracking[[#This Row],[Wählversuche]]/AkquiseTracking[[#This Row],[Gespräche mit Empfang]],0)</f>
        <v>0</v>
      </c>
      <c r="E77" s="161"/>
      <c r="F77" s="163">
        <f>IFERROR(AkquiseTracking[[#This Row],[Gespräche mit Entscheider]]/AkquiseTracking[[#This Row],[Gespräche mit Empfang]],0)</f>
        <v>0</v>
      </c>
      <c r="G77" s="161"/>
      <c r="H77" s="163">
        <f>IFERROR(AkquiseTracking[[#This Row],[Termine vereinbart]]/AkquiseTracking[[#This Row],[Gespräche mit Empfang]],0)</f>
        <v>0</v>
      </c>
    </row>
    <row r="78" spans="1:8" ht="22.5" customHeight="1">
      <c r="A78" s="160"/>
      <c r="B78" s="161"/>
      <c r="C78" s="161"/>
      <c r="D78" s="163">
        <f>IFERROR(AkquiseTracking[[#This Row],[Wählversuche]]/AkquiseTracking[[#This Row],[Gespräche mit Empfang]],0)</f>
        <v>0</v>
      </c>
      <c r="E78" s="161"/>
      <c r="F78" s="163">
        <f>IFERROR(AkquiseTracking[[#This Row],[Gespräche mit Entscheider]]/AkquiseTracking[[#This Row],[Gespräche mit Empfang]],0)</f>
        <v>0</v>
      </c>
      <c r="G78" s="161"/>
      <c r="H78" s="163">
        <f>IFERROR(AkquiseTracking[[#This Row],[Termine vereinbart]]/AkquiseTracking[[#This Row],[Gespräche mit Empfang]],0)</f>
        <v>0</v>
      </c>
    </row>
    <row r="79" spans="1:8" ht="22.5" customHeight="1">
      <c r="A79" s="160"/>
      <c r="B79" s="161"/>
      <c r="C79" s="161"/>
      <c r="D79" s="163">
        <f>IFERROR(AkquiseTracking[[#This Row],[Wählversuche]]/AkquiseTracking[[#This Row],[Gespräche mit Empfang]],0)</f>
        <v>0</v>
      </c>
      <c r="E79" s="161"/>
      <c r="F79" s="163">
        <f>IFERROR(AkquiseTracking[[#This Row],[Gespräche mit Entscheider]]/AkquiseTracking[[#This Row],[Gespräche mit Empfang]],0)</f>
        <v>0</v>
      </c>
      <c r="G79" s="161"/>
      <c r="H79" s="163">
        <f>IFERROR(AkquiseTracking[[#This Row],[Termine vereinbart]]/AkquiseTracking[[#This Row],[Gespräche mit Empfang]],0)</f>
        <v>0</v>
      </c>
    </row>
    <row r="80" spans="1:8" ht="22.5" customHeight="1">
      <c r="A80" s="160"/>
      <c r="B80" s="161"/>
      <c r="C80" s="161"/>
      <c r="D80" s="163">
        <f>IFERROR(AkquiseTracking[[#This Row],[Wählversuche]]/AkquiseTracking[[#This Row],[Gespräche mit Empfang]],0)</f>
        <v>0</v>
      </c>
      <c r="E80" s="161"/>
      <c r="F80" s="163">
        <f>IFERROR(AkquiseTracking[[#This Row],[Gespräche mit Entscheider]]/AkquiseTracking[[#This Row],[Gespräche mit Empfang]],0)</f>
        <v>0</v>
      </c>
      <c r="G80" s="161"/>
      <c r="H80" s="163">
        <f>IFERROR(AkquiseTracking[[#This Row],[Termine vereinbart]]/AkquiseTracking[[#This Row],[Gespräche mit Empfang]],0)</f>
        <v>0</v>
      </c>
    </row>
    <row r="81" spans="1:8" ht="22.5" customHeight="1">
      <c r="A81" s="160"/>
      <c r="B81" s="161"/>
      <c r="C81" s="161"/>
      <c r="D81" s="163">
        <f>IFERROR(AkquiseTracking[[#This Row],[Wählversuche]]/AkquiseTracking[[#This Row],[Gespräche mit Empfang]],0)</f>
        <v>0</v>
      </c>
      <c r="E81" s="161"/>
      <c r="F81" s="163">
        <f>IFERROR(AkquiseTracking[[#This Row],[Gespräche mit Entscheider]]/AkquiseTracking[[#This Row],[Gespräche mit Empfang]],0)</f>
        <v>0</v>
      </c>
      <c r="G81" s="161"/>
      <c r="H81" s="163">
        <f>IFERROR(AkquiseTracking[[#This Row],[Termine vereinbart]]/AkquiseTracking[[#This Row],[Gespräche mit Empfang]],0)</f>
        <v>0</v>
      </c>
    </row>
    <row r="82" spans="1:8" ht="22.5" customHeight="1">
      <c r="A82" s="160"/>
      <c r="B82" s="161"/>
      <c r="C82" s="161"/>
      <c r="D82" s="163">
        <f>IFERROR(AkquiseTracking[[#This Row],[Wählversuche]]/AkquiseTracking[[#This Row],[Gespräche mit Empfang]],0)</f>
        <v>0</v>
      </c>
      <c r="E82" s="161"/>
      <c r="F82" s="163">
        <f>IFERROR(AkquiseTracking[[#This Row],[Gespräche mit Entscheider]]/AkquiseTracking[[#This Row],[Gespräche mit Empfang]],0)</f>
        <v>0</v>
      </c>
      <c r="G82" s="161"/>
      <c r="H82" s="163">
        <f>IFERROR(AkquiseTracking[[#This Row],[Termine vereinbart]]/AkquiseTracking[[#This Row],[Gespräche mit Empfang]],0)</f>
        <v>0</v>
      </c>
    </row>
    <row r="83" spans="1:8" ht="22.5" customHeight="1">
      <c r="A83" s="160"/>
      <c r="B83" s="161"/>
      <c r="C83" s="161"/>
      <c r="D83" s="163">
        <f>IFERROR(AkquiseTracking[[#This Row],[Wählversuche]]/AkquiseTracking[[#This Row],[Gespräche mit Empfang]],0)</f>
        <v>0</v>
      </c>
      <c r="E83" s="161"/>
      <c r="F83" s="163">
        <f>IFERROR(AkquiseTracking[[#This Row],[Gespräche mit Entscheider]]/AkquiseTracking[[#This Row],[Gespräche mit Empfang]],0)</f>
        <v>0</v>
      </c>
      <c r="G83" s="161"/>
      <c r="H83" s="163">
        <f>IFERROR(AkquiseTracking[[#This Row],[Termine vereinbart]]/AkquiseTracking[[#This Row],[Gespräche mit Empfang]],0)</f>
        <v>0</v>
      </c>
    </row>
    <row r="84" spans="1:8" ht="22.5" customHeight="1">
      <c r="A84" s="160"/>
      <c r="B84" s="161"/>
      <c r="C84" s="161"/>
      <c r="D84" s="163">
        <f>IFERROR(AkquiseTracking[[#This Row],[Wählversuche]]/AkquiseTracking[[#This Row],[Gespräche mit Empfang]],0)</f>
        <v>0</v>
      </c>
      <c r="E84" s="161"/>
      <c r="F84" s="163">
        <f>IFERROR(AkquiseTracking[[#This Row],[Gespräche mit Entscheider]]/AkquiseTracking[[#This Row],[Gespräche mit Empfang]],0)</f>
        <v>0</v>
      </c>
      <c r="G84" s="161"/>
      <c r="H84" s="163">
        <f>IFERROR(AkquiseTracking[[#This Row],[Termine vereinbart]]/AkquiseTracking[[#This Row],[Gespräche mit Empfang]],0)</f>
        <v>0</v>
      </c>
    </row>
    <row r="85" spans="1:8" ht="22.5" customHeight="1">
      <c r="A85" s="160"/>
      <c r="B85" s="161"/>
      <c r="C85" s="161"/>
      <c r="D85" s="163">
        <f>IFERROR(AkquiseTracking[[#This Row],[Wählversuche]]/AkquiseTracking[[#This Row],[Gespräche mit Empfang]],0)</f>
        <v>0</v>
      </c>
      <c r="E85" s="161"/>
      <c r="F85" s="163">
        <f>IFERROR(AkquiseTracking[[#This Row],[Gespräche mit Entscheider]]/AkquiseTracking[[#This Row],[Gespräche mit Empfang]],0)</f>
        <v>0</v>
      </c>
      <c r="G85" s="161"/>
      <c r="H85" s="163">
        <f>IFERROR(AkquiseTracking[[#This Row],[Termine vereinbart]]/AkquiseTracking[[#This Row],[Gespräche mit Empfang]],0)</f>
        <v>0</v>
      </c>
    </row>
    <row r="86" spans="1:8" ht="22.5" customHeight="1">
      <c r="A86" s="160"/>
      <c r="B86" s="161"/>
      <c r="C86" s="161"/>
      <c r="D86" s="163">
        <f>IFERROR(AkquiseTracking[[#This Row],[Wählversuche]]/AkquiseTracking[[#This Row],[Gespräche mit Empfang]],0)</f>
        <v>0</v>
      </c>
      <c r="E86" s="161"/>
      <c r="F86" s="163">
        <f>IFERROR(AkquiseTracking[[#This Row],[Gespräche mit Entscheider]]/AkquiseTracking[[#This Row],[Gespräche mit Empfang]],0)</f>
        <v>0</v>
      </c>
      <c r="G86" s="161"/>
      <c r="H86" s="163">
        <f>IFERROR(AkquiseTracking[[#This Row],[Termine vereinbart]]/AkquiseTracking[[#This Row],[Gespräche mit Empfang]],0)</f>
        <v>0</v>
      </c>
    </row>
    <row r="87" spans="1:8" ht="22.5" customHeight="1">
      <c r="A87" s="160"/>
      <c r="B87" s="161"/>
      <c r="C87" s="161"/>
      <c r="D87" s="163">
        <f>IFERROR(AkquiseTracking[[#This Row],[Wählversuche]]/AkquiseTracking[[#This Row],[Gespräche mit Empfang]],0)</f>
        <v>0</v>
      </c>
      <c r="E87" s="161"/>
      <c r="F87" s="163">
        <f>IFERROR(AkquiseTracking[[#This Row],[Gespräche mit Entscheider]]/AkquiseTracking[[#This Row],[Gespräche mit Empfang]],0)</f>
        <v>0</v>
      </c>
      <c r="G87" s="161"/>
      <c r="H87" s="163">
        <f>IFERROR(AkquiseTracking[[#This Row],[Termine vereinbart]]/AkquiseTracking[[#This Row],[Gespräche mit Empfang]],0)</f>
        <v>0</v>
      </c>
    </row>
    <row r="88" spans="1:8" ht="22.5" customHeight="1">
      <c r="A88" s="160"/>
      <c r="B88" s="161"/>
      <c r="C88" s="161"/>
      <c r="D88" s="163">
        <f>IFERROR(AkquiseTracking[[#This Row],[Wählversuche]]/AkquiseTracking[[#This Row],[Gespräche mit Empfang]],0)</f>
        <v>0</v>
      </c>
      <c r="E88" s="161"/>
      <c r="F88" s="163">
        <f>IFERROR(AkquiseTracking[[#This Row],[Gespräche mit Entscheider]]/AkquiseTracking[[#This Row],[Gespräche mit Empfang]],0)</f>
        <v>0</v>
      </c>
      <c r="G88" s="161"/>
      <c r="H88" s="163">
        <f>IFERROR(AkquiseTracking[[#This Row],[Termine vereinbart]]/AkquiseTracking[[#This Row],[Gespräche mit Empfang]],0)</f>
        <v>0</v>
      </c>
    </row>
    <row r="89" spans="1:8" ht="22.5" customHeight="1">
      <c r="A89" s="160"/>
      <c r="B89" s="161"/>
      <c r="C89" s="161"/>
      <c r="D89" s="163">
        <f>IFERROR(AkquiseTracking[[#This Row],[Wählversuche]]/AkquiseTracking[[#This Row],[Gespräche mit Empfang]],0)</f>
        <v>0</v>
      </c>
      <c r="E89" s="161"/>
      <c r="F89" s="163">
        <f>IFERROR(AkquiseTracking[[#This Row],[Gespräche mit Entscheider]]/AkquiseTracking[[#This Row],[Gespräche mit Empfang]],0)</f>
        <v>0</v>
      </c>
      <c r="G89" s="161"/>
      <c r="H89" s="163">
        <f>IFERROR(AkquiseTracking[[#This Row],[Termine vereinbart]]/AkquiseTracking[[#This Row],[Gespräche mit Empfang]],0)</f>
        <v>0</v>
      </c>
    </row>
    <row r="90" spans="1:8" ht="22.5" customHeight="1">
      <c r="A90" s="160"/>
      <c r="B90" s="161"/>
      <c r="C90" s="161"/>
      <c r="D90" s="163">
        <f>IFERROR(AkquiseTracking[[#This Row],[Wählversuche]]/AkquiseTracking[[#This Row],[Gespräche mit Empfang]],0)</f>
        <v>0</v>
      </c>
      <c r="E90" s="161"/>
      <c r="F90" s="163">
        <f>IFERROR(AkquiseTracking[[#This Row],[Gespräche mit Entscheider]]/AkquiseTracking[[#This Row],[Gespräche mit Empfang]],0)</f>
        <v>0</v>
      </c>
      <c r="G90" s="161"/>
      <c r="H90" s="163">
        <f>IFERROR(AkquiseTracking[[#This Row],[Termine vereinbart]]/AkquiseTracking[[#This Row],[Gespräche mit Empfang]],0)</f>
        <v>0</v>
      </c>
    </row>
    <row r="91" spans="1:8" ht="22.5" customHeight="1">
      <c r="A91" s="160"/>
      <c r="B91" s="161"/>
      <c r="C91" s="161"/>
      <c r="D91" s="163">
        <f>IFERROR(AkquiseTracking[[#This Row],[Wählversuche]]/AkquiseTracking[[#This Row],[Gespräche mit Empfang]],0)</f>
        <v>0</v>
      </c>
      <c r="E91" s="161"/>
      <c r="F91" s="163">
        <f>IFERROR(AkquiseTracking[[#This Row],[Gespräche mit Entscheider]]/AkquiseTracking[[#This Row],[Gespräche mit Empfang]],0)</f>
        <v>0</v>
      </c>
      <c r="G91" s="161"/>
      <c r="H91" s="163">
        <f>IFERROR(AkquiseTracking[[#This Row],[Termine vereinbart]]/AkquiseTracking[[#This Row],[Gespräche mit Empfang]],0)</f>
        <v>0</v>
      </c>
    </row>
    <row r="92" spans="1:8" ht="22.5" customHeight="1">
      <c r="A92" s="160"/>
      <c r="B92" s="161"/>
      <c r="C92" s="161"/>
      <c r="D92" s="163">
        <f>IFERROR(AkquiseTracking[[#This Row],[Wählversuche]]/AkquiseTracking[[#This Row],[Gespräche mit Empfang]],0)</f>
        <v>0</v>
      </c>
      <c r="E92" s="161"/>
      <c r="F92" s="163">
        <f>IFERROR(AkquiseTracking[[#This Row],[Gespräche mit Entscheider]]/AkquiseTracking[[#This Row],[Gespräche mit Empfang]],0)</f>
        <v>0</v>
      </c>
      <c r="G92" s="161"/>
      <c r="H92" s="163">
        <f>IFERROR(AkquiseTracking[[#This Row],[Termine vereinbart]]/AkquiseTracking[[#This Row],[Gespräche mit Empfang]],0)</f>
        <v>0</v>
      </c>
    </row>
    <row r="93" spans="1:8" ht="22.5" customHeight="1">
      <c r="A93" s="160"/>
      <c r="B93" s="161"/>
      <c r="C93" s="161"/>
      <c r="D93" s="163">
        <f>IFERROR(AkquiseTracking[[#This Row],[Wählversuche]]/AkquiseTracking[[#This Row],[Gespräche mit Empfang]],0)</f>
        <v>0</v>
      </c>
      <c r="E93" s="161"/>
      <c r="F93" s="163">
        <f>IFERROR(AkquiseTracking[[#This Row],[Gespräche mit Entscheider]]/AkquiseTracking[[#This Row],[Gespräche mit Empfang]],0)</f>
        <v>0</v>
      </c>
      <c r="G93" s="161"/>
      <c r="H93" s="163">
        <f>IFERROR(AkquiseTracking[[#This Row],[Termine vereinbart]]/AkquiseTracking[[#This Row],[Gespräche mit Empfang]],0)</f>
        <v>0</v>
      </c>
    </row>
    <row r="94" spans="1:8" ht="22.5" customHeight="1">
      <c r="A94" s="160"/>
      <c r="B94" s="161"/>
      <c r="C94" s="161"/>
      <c r="D94" s="163">
        <f>IFERROR(AkquiseTracking[[#This Row],[Wählversuche]]/AkquiseTracking[[#This Row],[Gespräche mit Empfang]],0)</f>
        <v>0</v>
      </c>
      <c r="E94" s="161"/>
      <c r="F94" s="163">
        <f>IFERROR(AkquiseTracking[[#This Row],[Gespräche mit Entscheider]]/AkquiseTracking[[#This Row],[Gespräche mit Empfang]],0)</f>
        <v>0</v>
      </c>
      <c r="G94" s="161"/>
      <c r="H94" s="163">
        <f>IFERROR(AkquiseTracking[[#This Row],[Termine vereinbart]]/AkquiseTracking[[#This Row],[Gespräche mit Empfang]],0)</f>
        <v>0</v>
      </c>
    </row>
    <row r="95" spans="1:8" ht="22.5" customHeight="1">
      <c r="A95" s="160"/>
      <c r="B95" s="161"/>
      <c r="C95" s="161"/>
      <c r="D95" s="163">
        <f>IFERROR(AkquiseTracking[[#This Row],[Wählversuche]]/AkquiseTracking[[#This Row],[Gespräche mit Empfang]],0)</f>
        <v>0</v>
      </c>
      <c r="E95" s="161"/>
      <c r="F95" s="163">
        <f>IFERROR(AkquiseTracking[[#This Row],[Gespräche mit Entscheider]]/AkquiseTracking[[#This Row],[Gespräche mit Empfang]],0)</f>
        <v>0</v>
      </c>
      <c r="G95" s="161"/>
      <c r="H95" s="163">
        <f>IFERROR(AkquiseTracking[[#This Row],[Termine vereinbart]]/AkquiseTracking[[#This Row],[Gespräche mit Empfang]],0)</f>
        <v>0</v>
      </c>
    </row>
    <row r="96" spans="1:8" ht="22.5" customHeight="1">
      <c r="A96" s="160"/>
      <c r="B96" s="161"/>
      <c r="C96" s="161"/>
      <c r="D96" s="163">
        <f>IFERROR(AkquiseTracking[[#This Row],[Wählversuche]]/AkquiseTracking[[#This Row],[Gespräche mit Empfang]],0)</f>
        <v>0</v>
      </c>
      <c r="E96" s="161"/>
      <c r="F96" s="163">
        <f>IFERROR(AkquiseTracking[[#This Row],[Gespräche mit Entscheider]]/AkquiseTracking[[#This Row],[Gespräche mit Empfang]],0)</f>
        <v>0</v>
      </c>
      <c r="G96" s="161"/>
      <c r="H96" s="163">
        <f>IFERROR(AkquiseTracking[[#This Row],[Termine vereinbart]]/AkquiseTracking[[#This Row],[Gespräche mit Empfang]],0)</f>
        <v>0</v>
      </c>
    </row>
    <row r="97" spans="1:8" ht="22.5" customHeight="1">
      <c r="A97" s="160"/>
      <c r="B97" s="161"/>
      <c r="C97" s="161"/>
      <c r="D97" s="163">
        <f>IFERROR(AkquiseTracking[[#This Row],[Wählversuche]]/AkquiseTracking[[#This Row],[Gespräche mit Empfang]],0)</f>
        <v>0</v>
      </c>
      <c r="E97" s="161"/>
      <c r="F97" s="163">
        <f>IFERROR(AkquiseTracking[[#This Row],[Gespräche mit Entscheider]]/AkquiseTracking[[#This Row],[Gespräche mit Empfang]],0)</f>
        <v>0</v>
      </c>
      <c r="G97" s="161"/>
      <c r="H97" s="163">
        <f>IFERROR(AkquiseTracking[[#This Row],[Termine vereinbart]]/AkquiseTracking[[#This Row],[Gespräche mit Empfang]],0)</f>
        <v>0</v>
      </c>
    </row>
    <row r="98" spans="1:8" ht="22.5" customHeight="1">
      <c r="A98" s="160"/>
      <c r="B98" s="161"/>
      <c r="C98" s="161"/>
      <c r="D98" s="163">
        <f>IFERROR(AkquiseTracking[[#This Row],[Wählversuche]]/AkquiseTracking[[#This Row],[Gespräche mit Empfang]],0)</f>
        <v>0</v>
      </c>
      <c r="E98" s="161"/>
      <c r="F98" s="163">
        <f>IFERROR(AkquiseTracking[[#This Row],[Gespräche mit Entscheider]]/AkquiseTracking[[#This Row],[Gespräche mit Empfang]],0)</f>
        <v>0</v>
      </c>
      <c r="G98" s="161"/>
      <c r="H98" s="163">
        <f>IFERROR(AkquiseTracking[[#This Row],[Termine vereinbart]]/AkquiseTracking[[#This Row],[Gespräche mit Empfang]],0)</f>
        <v>0</v>
      </c>
    </row>
    <row r="99" spans="1:8" ht="22.5" customHeight="1">
      <c r="A99" s="160"/>
      <c r="B99" s="161"/>
      <c r="C99" s="161"/>
      <c r="D99" s="163">
        <f>IFERROR(AkquiseTracking[[#This Row],[Wählversuche]]/AkquiseTracking[[#This Row],[Gespräche mit Empfang]],0)</f>
        <v>0</v>
      </c>
      <c r="E99" s="161"/>
      <c r="F99" s="163">
        <f>IFERROR(AkquiseTracking[[#This Row],[Gespräche mit Entscheider]]/AkquiseTracking[[#This Row],[Gespräche mit Empfang]],0)</f>
        <v>0</v>
      </c>
      <c r="G99" s="161"/>
      <c r="H99" s="163">
        <f>IFERROR(AkquiseTracking[[#This Row],[Termine vereinbart]]/AkquiseTracking[[#This Row],[Gespräche mit Empfang]],0)</f>
        <v>0</v>
      </c>
    </row>
    <row r="100" spans="1:8" ht="22.5" customHeight="1">
      <c r="A100" s="160"/>
      <c r="B100" s="161"/>
      <c r="C100" s="161"/>
      <c r="D100" s="163">
        <f>IFERROR(AkquiseTracking[[#This Row],[Wählversuche]]/AkquiseTracking[[#This Row],[Gespräche mit Empfang]],0)</f>
        <v>0</v>
      </c>
      <c r="E100" s="161"/>
      <c r="F100" s="163">
        <f>IFERROR(AkquiseTracking[[#This Row],[Gespräche mit Entscheider]]/AkquiseTracking[[#This Row],[Gespräche mit Empfang]],0)</f>
        <v>0</v>
      </c>
      <c r="G100" s="161"/>
      <c r="H100" s="163">
        <f>IFERROR(AkquiseTracking[[#This Row],[Termine vereinbart]]/AkquiseTracking[[#This Row],[Gespräche mit Empfang]],0)</f>
        <v>0</v>
      </c>
    </row>
    <row r="101" spans="1:8" ht="22.5" customHeight="1">
      <c r="A101" s="160"/>
      <c r="B101" s="161"/>
      <c r="C101" s="161"/>
      <c r="D101" s="163">
        <f>IFERROR(AkquiseTracking[[#This Row],[Wählversuche]]/AkquiseTracking[[#This Row],[Gespräche mit Empfang]],0)</f>
        <v>0</v>
      </c>
      <c r="E101" s="161"/>
      <c r="F101" s="163">
        <f>IFERROR(AkquiseTracking[[#This Row],[Gespräche mit Entscheider]]/AkquiseTracking[[#This Row],[Gespräche mit Empfang]],0)</f>
        <v>0</v>
      </c>
      <c r="G101" s="161"/>
      <c r="H101" s="163">
        <f>IFERROR(AkquiseTracking[[#This Row],[Termine vereinbart]]/AkquiseTracking[[#This Row],[Gespräche mit Empfang]],0)</f>
        <v>0</v>
      </c>
    </row>
    <row r="102" spans="1:8" ht="22.5" customHeight="1">
      <c r="A102" s="160"/>
      <c r="B102" s="161"/>
      <c r="C102" s="161"/>
      <c r="D102" s="163">
        <f>IFERROR(AkquiseTracking[[#This Row],[Wählversuche]]/AkquiseTracking[[#This Row],[Gespräche mit Empfang]],0)</f>
        <v>0</v>
      </c>
      <c r="E102" s="161"/>
      <c r="F102" s="163">
        <f>IFERROR(AkquiseTracking[[#This Row],[Gespräche mit Entscheider]]/AkquiseTracking[[#This Row],[Gespräche mit Empfang]],0)</f>
        <v>0</v>
      </c>
      <c r="G102" s="161"/>
      <c r="H102" s="163">
        <f>IFERROR(AkquiseTracking[[#This Row],[Termine vereinbart]]/AkquiseTracking[[#This Row],[Gespräche mit Empfang]],0)</f>
        <v>0</v>
      </c>
    </row>
    <row r="103" spans="1:8" ht="22.5" customHeight="1">
      <c r="A103" s="160"/>
      <c r="B103" s="161"/>
      <c r="C103" s="161"/>
      <c r="D103" s="163">
        <f>IFERROR(AkquiseTracking[[#This Row],[Wählversuche]]/AkquiseTracking[[#This Row],[Gespräche mit Empfang]],0)</f>
        <v>0</v>
      </c>
      <c r="E103" s="161"/>
      <c r="F103" s="163">
        <f>IFERROR(AkquiseTracking[[#This Row],[Gespräche mit Entscheider]]/AkquiseTracking[[#This Row],[Gespräche mit Empfang]],0)</f>
        <v>0</v>
      </c>
      <c r="G103" s="161"/>
      <c r="H103" s="163">
        <f>IFERROR(AkquiseTracking[[#This Row],[Termine vereinbart]]/AkquiseTracking[[#This Row],[Gespräche mit Empfang]],0)</f>
        <v>0</v>
      </c>
    </row>
    <row r="104" spans="1:8" ht="22.5" customHeight="1">
      <c r="A104" s="160"/>
      <c r="B104" s="161"/>
      <c r="C104" s="161"/>
      <c r="D104" s="163">
        <f>IFERROR(AkquiseTracking[[#This Row],[Wählversuche]]/AkquiseTracking[[#This Row],[Gespräche mit Empfang]],0)</f>
        <v>0</v>
      </c>
      <c r="E104" s="161"/>
      <c r="F104" s="163">
        <f>IFERROR(AkquiseTracking[[#This Row],[Gespräche mit Entscheider]]/AkquiseTracking[[#This Row],[Gespräche mit Empfang]],0)</f>
        <v>0</v>
      </c>
      <c r="G104" s="161"/>
      <c r="H104" s="163">
        <f>IFERROR(AkquiseTracking[[#This Row],[Termine vereinbart]]/AkquiseTracking[[#This Row],[Gespräche mit Empfang]],0)</f>
        <v>0</v>
      </c>
    </row>
    <row r="105" spans="1:8" ht="22.5" customHeight="1">
      <c r="A105" s="160"/>
      <c r="B105" s="161"/>
      <c r="C105" s="161"/>
      <c r="D105" s="163">
        <f>IFERROR(AkquiseTracking[[#This Row],[Wählversuche]]/AkquiseTracking[[#This Row],[Gespräche mit Empfang]],0)</f>
        <v>0</v>
      </c>
      <c r="E105" s="161"/>
      <c r="F105" s="163">
        <f>IFERROR(AkquiseTracking[[#This Row],[Gespräche mit Entscheider]]/AkquiseTracking[[#This Row],[Gespräche mit Empfang]],0)</f>
        <v>0</v>
      </c>
      <c r="G105" s="161"/>
      <c r="H105" s="163">
        <f>IFERROR(AkquiseTracking[[#This Row],[Termine vereinbart]]/AkquiseTracking[[#This Row],[Gespräche mit Empfang]],0)</f>
        <v>0</v>
      </c>
    </row>
    <row r="106" spans="1:8" ht="22.5" customHeight="1">
      <c r="A106" s="160"/>
      <c r="B106" s="161"/>
      <c r="C106" s="161"/>
      <c r="D106" s="163">
        <f>IFERROR(AkquiseTracking[[#This Row],[Wählversuche]]/AkquiseTracking[[#This Row],[Gespräche mit Empfang]],0)</f>
        <v>0</v>
      </c>
      <c r="E106" s="161"/>
      <c r="F106" s="163">
        <f>IFERROR(AkquiseTracking[[#This Row],[Gespräche mit Entscheider]]/AkquiseTracking[[#This Row],[Gespräche mit Empfang]],0)</f>
        <v>0</v>
      </c>
      <c r="G106" s="161"/>
      <c r="H106" s="163">
        <f>IFERROR(AkquiseTracking[[#This Row],[Termine vereinbart]]/AkquiseTracking[[#This Row],[Gespräche mit Empfang]],0)</f>
        <v>0</v>
      </c>
    </row>
    <row r="107" spans="1:8" ht="22.5" customHeight="1">
      <c r="A107" s="160"/>
      <c r="B107" s="161"/>
      <c r="C107" s="161"/>
      <c r="D107" s="163">
        <f>IFERROR(AkquiseTracking[[#This Row],[Wählversuche]]/AkquiseTracking[[#This Row],[Gespräche mit Empfang]],0)</f>
        <v>0</v>
      </c>
      <c r="E107" s="161"/>
      <c r="F107" s="163">
        <f>IFERROR(AkquiseTracking[[#This Row],[Gespräche mit Entscheider]]/AkquiseTracking[[#This Row],[Gespräche mit Empfang]],0)</f>
        <v>0</v>
      </c>
      <c r="G107" s="161"/>
      <c r="H107" s="163">
        <f>IFERROR(AkquiseTracking[[#This Row],[Termine vereinbart]]/AkquiseTracking[[#This Row],[Gespräche mit Empfang]],0)</f>
        <v>0</v>
      </c>
    </row>
    <row r="108" spans="1:8" ht="22.5" customHeight="1">
      <c r="A108" s="160"/>
      <c r="B108" s="161"/>
      <c r="C108" s="161"/>
      <c r="D108" s="163">
        <f>IFERROR(AkquiseTracking[[#This Row],[Wählversuche]]/AkquiseTracking[[#This Row],[Gespräche mit Empfang]],0)</f>
        <v>0</v>
      </c>
      <c r="E108" s="161"/>
      <c r="F108" s="163">
        <f>IFERROR(AkquiseTracking[[#This Row],[Gespräche mit Entscheider]]/AkquiseTracking[[#This Row],[Gespräche mit Empfang]],0)</f>
        <v>0</v>
      </c>
      <c r="G108" s="161"/>
      <c r="H108" s="163">
        <f>IFERROR(AkquiseTracking[[#This Row],[Termine vereinbart]]/AkquiseTracking[[#This Row],[Gespräche mit Empfang]],0)</f>
        <v>0</v>
      </c>
    </row>
    <row r="109" spans="1:8" ht="22.5" customHeight="1">
      <c r="A109" s="160"/>
      <c r="B109" s="161"/>
      <c r="C109" s="161"/>
      <c r="D109" s="163">
        <f>IFERROR(AkquiseTracking[[#This Row],[Wählversuche]]/AkquiseTracking[[#This Row],[Gespräche mit Empfang]],0)</f>
        <v>0</v>
      </c>
      <c r="E109" s="161"/>
      <c r="F109" s="163">
        <f>IFERROR(AkquiseTracking[[#This Row],[Gespräche mit Entscheider]]/AkquiseTracking[[#This Row],[Gespräche mit Empfang]],0)</f>
        <v>0</v>
      </c>
      <c r="G109" s="161"/>
      <c r="H109" s="163">
        <f>IFERROR(AkquiseTracking[[#This Row],[Termine vereinbart]]/AkquiseTracking[[#This Row],[Gespräche mit Empfang]],0)</f>
        <v>0</v>
      </c>
    </row>
    <row r="110" spans="1:8" ht="22.5" customHeight="1">
      <c r="A110" s="160"/>
      <c r="B110" s="161"/>
      <c r="C110" s="161"/>
      <c r="D110" s="163">
        <f>IFERROR(AkquiseTracking[[#This Row],[Wählversuche]]/AkquiseTracking[[#This Row],[Gespräche mit Empfang]],0)</f>
        <v>0</v>
      </c>
      <c r="E110" s="161"/>
      <c r="F110" s="163">
        <f>IFERROR(AkquiseTracking[[#This Row],[Gespräche mit Entscheider]]/AkquiseTracking[[#This Row],[Gespräche mit Empfang]],0)</f>
        <v>0</v>
      </c>
      <c r="G110" s="161"/>
      <c r="H110" s="163">
        <f>IFERROR(AkquiseTracking[[#This Row],[Termine vereinbart]]/AkquiseTracking[[#This Row],[Gespräche mit Empfang]],0)</f>
        <v>0</v>
      </c>
    </row>
    <row r="111" spans="1:8" ht="22.5" customHeight="1">
      <c r="A111" s="160"/>
      <c r="B111" s="161"/>
      <c r="C111" s="161"/>
      <c r="D111" s="163">
        <f>IFERROR(AkquiseTracking[[#This Row],[Wählversuche]]/AkquiseTracking[[#This Row],[Gespräche mit Empfang]],0)</f>
        <v>0</v>
      </c>
      <c r="E111" s="161"/>
      <c r="F111" s="163">
        <f>IFERROR(AkquiseTracking[[#This Row],[Gespräche mit Entscheider]]/AkquiseTracking[[#This Row],[Gespräche mit Empfang]],0)</f>
        <v>0</v>
      </c>
      <c r="G111" s="161"/>
      <c r="H111" s="163">
        <f>IFERROR(AkquiseTracking[[#This Row],[Termine vereinbart]]/AkquiseTracking[[#This Row],[Gespräche mit Empfang]],0)</f>
        <v>0</v>
      </c>
    </row>
    <row r="112" spans="1:8" ht="22.5" customHeight="1">
      <c r="A112" s="160"/>
      <c r="B112" s="161"/>
      <c r="C112" s="161"/>
      <c r="D112" s="163">
        <f>IFERROR(AkquiseTracking[[#This Row],[Wählversuche]]/AkquiseTracking[[#This Row],[Gespräche mit Empfang]],0)</f>
        <v>0</v>
      </c>
      <c r="E112" s="161"/>
      <c r="F112" s="163">
        <f>IFERROR(AkquiseTracking[[#This Row],[Gespräche mit Entscheider]]/AkquiseTracking[[#This Row],[Gespräche mit Empfang]],0)</f>
        <v>0</v>
      </c>
      <c r="G112" s="161"/>
      <c r="H112" s="163">
        <f>IFERROR(AkquiseTracking[[#This Row],[Termine vereinbart]]/AkquiseTracking[[#This Row],[Gespräche mit Empfang]],0)</f>
        <v>0</v>
      </c>
    </row>
    <row r="113" spans="1:8" ht="22.5" customHeight="1">
      <c r="A113" s="160"/>
      <c r="B113" s="161"/>
      <c r="C113" s="161"/>
      <c r="D113" s="163">
        <f>IFERROR(AkquiseTracking[[#This Row],[Wählversuche]]/AkquiseTracking[[#This Row],[Gespräche mit Empfang]],0)</f>
        <v>0</v>
      </c>
      <c r="E113" s="161"/>
      <c r="F113" s="163">
        <f>IFERROR(AkquiseTracking[[#This Row],[Gespräche mit Entscheider]]/AkquiseTracking[[#This Row],[Gespräche mit Empfang]],0)</f>
        <v>0</v>
      </c>
      <c r="G113" s="161"/>
      <c r="H113" s="163">
        <f>IFERROR(AkquiseTracking[[#This Row],[Termine vereinbart]]/AkquiseTracking[[#This Row],[Gespräche mit Empfang]],0)</f>
        <v>0</v>
      </c>
    </row>
    <row r="114" spans="1:8" ht="22.5" customHeight="1">
      <c r="A114" s="160"/>
      <c r="B114" s="161"/>
      <c r="C114" s="161"/>
      <c r="D114" s="163">
        <f>IFERROR(AkquiseTracking[[#This Row],[Wählversuche]]/AkquiseTracking[[#This Row],[Gespräche mit Empfang]],0)</f>
        <v>0</v>
      </c>
      <c r="E114" s="161"/>
      <c r="F114" s="163">
        <f>IFERROR(AkquiseTracking[[#This Row],[Gespräche mit Entscheider]]/AkquiseTracking[[#This Row],[Gespräche mit Empfang]],0)</f>
        <v>0</v>
      </c>
      <c r="G114" s="161"/>
      <c r="H114" s="163">
        <f>IFERROR(AkquiseTracking[[#This Row],[Termine vereinbart]]/AkquiseTracking[[#This Row],[Gespräche mit Empfang]],0)</f>
        <v>0</v>
      </c>
    </row>
    <row r="115" spans="1:8" ht="22.5" customHeight="1">
      <c r="A115" s="160"/>
      <c r="B115" s="161"/>
      <c r="C115" s="161"/>
      <c r="D115" s="163">
        <f>IFERROR(AkquiseTracking[[#This Row],[Wählversuche]]/AkquiseTracking[[#This Row],[Gespräche mit Empfang]],0)</f>
        <v>0</v>
      </c>
      <c r="E115" s="161"/>
      <c r="F115" s="163">
        <f>IFERROR(AkquiseTracking[[#This Row],[Gespräche mit Entscheider]]/AkquiseTracking[[#This Row],[Gespräche mit Empfang]],0)</f>
        <v>0</v>
      </c>
      <c r="G115" s="161"/>
      <c r="H115" s="163">
        <f>IFERROR(AkquiseTracking[[#This Row],[Termine vereinbart]]/AkquiseTracking[[#This Row],[Gespräche mit Empfang]],0)</f>
        <v>0</v>
      </c>
    </row>
    <row r="116" spans="1:8" ht="22.5" customHeight="1">
      <c r="A116" s="160"/>
      <c r="B116" s="161"/>
      <c r="C116" s="161"/>
      <c r="D116" s="163">
        <f>IFERROR(AkquiseTracking[[#This Row],[Wählversuche]]/AkquiseTracking[[#This Row],[Gespräche mit Empfang]],0)</f>
        <v>0</v>
      </c>
      <c r="E116" s="161"/>
      <c r="F116" s="163">
        <f>IFERROR(AkquiseTracking[[#This Row],[Gespräche mit Entscheider]]/AkquiseTracking[[#This Row],[Gespräche mit Empfang]],0)</f>
        <v>0</v>
      </c>
      <c r="G116" s="161"/>
      <c r="H116" s="163">
        <f>IFERROR(AkquiseTracking[[#This Row],[Termine vereinbart]]/AkquiseTracking[[#This Row],[Gespräche mit Empfang]],0)</f>
        <v>0</v>
      </c>
    </row>
    <row r="117" spans="1:8" ht="22.5" customHeight="1">
      <c r="A117" s="160"/>
      <c r="B117" s="161"/>
      <c r="C117" s="161"/>
      <c r="D117" s="163">
        <f>IFERROR(AkquiseTracking[[#This Row],[Wählversuche]]/AkquiseTracking[[#This Row],[Gespräche mit Empfang]],0)</f>
        <v>0</v>
      </c>
      <c r="E117" s="161"/>
      <c r="F117" s="163">
        <f>IFERROR(AkquiseTracking[[#This Row],[Gespräche mit Entscheider]]/AkquiseTracking[[#This Row],[Gespräche mit Empfang]],0)</f>
        <v>0</v>
      </c>
      <c r="G117" s="161"/>
      <c r="H117" s="163">
        <f>IFERROR(AkquiseTracking[[#This Row],[Termine vereinbart]]/AkquiseTracking[[#This Row],[Gespräche mit Empfang]],0)</f>
        <v>0</v>
      </c>
    </row>
    <row r="118" spans="1:8" ht="22.5" customHeight="1">
      <c r="A118" s="160"/>
      <c r="B118" s="161"/>
      <c r="C118" s="161"/>
      <c r="D118" s="163">
        <f>IFERROR(AkquiseTracking[[#This Row],[Wählversuche]]/AkquiseTracking[[#This Row],[Gespräche mit Empfang]],0)</f>
        <v>0</v>
      </c>
      <c r="E118" s="161"/>
      <c r="F118" s="163">
        <f>IFERROR(AkquiseTracking[[#This Row],[Gespräche mit Entscheider]]/AkquiseTracking[[#This Row],[Gespräche mit Empfang]],0)</f>
        <v>0</v>
      </c>
      <c r="G118" s="161"/>
      <c r="H118" s="163">
        <f>IFERROR(AkquiseTracking[[#This Row],[Termine vereinbart]]/AkquiseTracking[[#This Row],[Gespräche mit Empfang]],0)</f>
        <v>0</v>
      </c>
    </row>
    <row r="119" spans="1:8" ht="22.5" customHeight="1">
      <c r="A119" s="160"/>
      <c r="B119" s="161"/>
      <c r="C119" s="161"/>
      <c r="D119" s="163">
        <f>IFERROR(AkquiseTracking[[#This Row],[Wählversuche]]/AkquiseTracking[[#This Row],[Gespräche mit Empfang]],0)</f>
        <v>0</v>
      </c>
      <c r="E119" s="161"/>
      <c r="F119" s="163">
        <f>IFERROR(AkquiseTracking[[#This Row],[Gespräche mit Entscheider]]/AkquiseTracking[[#This Row],[Gespräche mit Empfang]],0)</f>
        <v>0</v>
      </c>
      <c r="G119" s="161"/>
      <c r="H119" s="163">
        <f>IFERROR(AkquiseTracking[[#This Row],[Termine vereinbart]]/AkquiseTracking[[#This Row],[Gespräche mit Empfang]],0)</f>
        <v>0</v>
      </c>
    </row>
    <row r="120" spans="1:8" ht="22.5" customHeight="1">
      <c r="A120" s="160"/>
      <c r="B120" s="161"/>
      <c r="C120" s="161"/>
      <c r="D120" s="163">
        <f>IFERROR(AkquiseTracking[[#This Row],[Wählversuche]]/AkquiseTracking[[#This Row],[Gespräche mit Empfang]],0)</f>
        <v>0</v>
      </c>
      <c r="E120" s="161"/>
      <c r="F120" s="163">
        <f>IFERROR(AkquiseTracking[[#This Row],[Gespräche mit Entscheider]]/AkquiseTracking[[#This Row],[Gespräche mit Empfang]],0)</f>
        <v>0</v>
      </c>
      <c r="G120" s="161"/>
      <c r="H120" s="163">
        <f>IFERROR(AkquiseTracking[[#This Row],[Termine vereinbart]]/AkquiseTracking[[#This Row],[Gespräche mit Empfang]],0)</f>
        <v>0</v>
      </c>
    </row>
    <row r="121" spans="1:8" ht="22.5" customHeight="1">
      <c r="A121" s="160"/>
      <c r="B121" s="161"/>
      <c r="C121" s="161"/>
      <c r="D121" s="163">
        <f>IFERROR(AkquiseTracking[[#This Row],[Wählversuche]]/AkquiseTracking[[#This Row],[Gespräche mit Empfang]],0)</f>
        <v>0</v>
      </c>
      <c r="E121" s="161"/>
      <c r="F121" s="163">
        <f>IFERROR(AkquiseTracking[[#This Row],[Gespräche mit Entscheider]]/AkquiseTracking[[#This Row],[Gespräche mit Empfang]],0)</f>
        <v>0</v>
      </c>
      <c r="G121" s="161"/>
      <c r="H121" s="163">
        <f>IFERROR(AkquiseTracking[[#This Row],[Termine vereinbart]]/AkquiseTracking[[#This Row],[Gespräche mit Empfang]],0)</f>
        <v>0</v>
      </c>
    </row>
    <row r="122" spans="1:8" ht="22.5" customHeight="1">
      <c r="A122" s="160"/>
      <c r="B122" s="161"/>
      <c r="C122" s="161"/>
      <c r="D122" s="163">
        <f>IFERROR(AkquiseTracking[[#This Row],[Wählversuche]]/AkquiseTracking[[#This Row],[Gespräche mit Empfang]],0)</f>
        <v>0</v>
      </c>
      <c r="E122" s="161"/>
      <c r="F122" s="163">
        <f>IFERROR(AkquiseTracking[[#This Row],[Gespräche mit Entscheider]]/AkquiseTracking[[#This Row],[Gespräche mit Empfang]],0)</f>
        <v>0</v>
      </c>
      <c r="G122" s="161"/>
      <c r="H122" s="163">
        <f>IFERROR(AkquiseTracking[[#This Row],[Termine vereinbart]]/AkquiseTracking[[#This Row],[Gespräche mit Empfang]],0)</f>
        <v>0</v>
      </c>
    </row>
    <row r="123" spans="1:8" ht="22.5" customHeight="1">
      <c r="A123" s="160"/>
      <c r="B123" s="161"/>
      <c r="C123" s="161"/>
      <c r="D123" s="163">
        <f>IFERROR(AkquiseTracking[[#This Row],[Wählversuche]]/AkquiseTracking[[#This Row],[Gespräche mit Empfang]],0)</f>
        <v>0</v>
      </c>
      <c r="E123" s="161"/>
      <c r="F123" s="163">
        <f>IFERROR(AkquiseTracking[[#This Row],[Gespräche mit Entscheider]]/AkquiseTracking[[#This Row],[Gespräche mit Empfang]],0)</f>
        <v>0</v>
      </c>
      <c r="G123" s="161"/>
      <c r="H123" s="163">
        <f>IFERROR(AkquiseTracking[[#This Row],[Termine vereinbart]]/AkquiseTracking[[#This Row],[Gespräche mit Empfang]],0)</f>
        <v>0</v>
      </c>
    </row>
    <row r="124" spans="1:8" ht="22.5" customHeight="1">
      <c r="A124" s="160"/>
      <c r="B124" s="161"/>
      <c r="C124" s="161"/>
      <c r="D124" s="163">
        <f>IFERROR(AkquiseTracking[[#This Row],[Wählversuche]]/AkquiseTracking[[#This Row],[Gespräche mit Empfang]],0)</f>
        <v>0</v>
      </c>
      <c r="E124" s="161"/>
      <c r="F124" s="163">
        <f>IFERROR(AkquiseTracking[[#This Row],[Gespräche mit Entscheider]]/AkquiseTracking[[#This Row],[Gespräche mit Empfang]],0)</f>
        <v>0</v>
      </c>
      <c r="G124" s="161"/>
      <c r="H124" s="163">
        <f>IFERROR(AkquiseTracking[[#This Row],[Termine vereinbart]]/AkquiseTracking[[#This Row],[Gespräche mit Empfang]],0)</f>
        <v>0</v>
      </c>
    </row>
    <row r="125" spans="1:8" ht="22.5" customHeight="1">
      <c r="A125" s="160"/>
      <c r="B125" s="161"/>
      <c r="C125" s="161"/>
      <c r="D125" s="163">
        <f>IFERROR(AkquiseTracking[[#This Row],[Wählversuche]]/AkquiseTracking[[#This Row],[Gespräche mit Empfang]],0)</f>
        <v>0</v>
      </c>
      <c r="E125" s="161"/>
      <c r="F125" s="163">
        <f>IFERROR(AkquiseTracking[[#This Row],[Gespräche mit Entscheider]]/AkquiseTracking[[#This Row],[Gespräche mit Empfang]],0)</f>
        <v>0</v>
      </c>
      <c r="G125" s="161"/>
      <c r="H125" s="163">
        <f>IFERROR(AkquiseTracking[[#This Row],[Termine vereinbart]]/AkquiseTracking[[#This Row],[Gespräche mit Empfang]],0)</f>
        <v>0</v>
      </c>
    </row>
    <row r="126" spans="1:8" ht="22.5" customHeight="1">
      <c r="A126" s="160"/>
      <c r="B126" s="161"/>
      <c r="C126" s="161"/>
      <c r="D126" s="163">
        <f>IFERROR(AkquiseTracking[[#This Row],[Wählversuche]]/AkquiseTracking[[#This Row],[Gespräche mit Empfang]],0)</f>
        <v>0</v>
      </c>
      <c r="E126" s="161"/>
      <c r="F126" s="163">
        <f>IFERROR(AkquiseTracking[[#This Row],[Gespräche mit Entscheider]]/AkquiseTracking[[#This Row],[Gespräche mit Empfang]],0)</f>
        <v>0</v>
      </c>
      <c r="G126" s="161"/>
      <c r="H126" s="163">
        <f>IFERROR(AkquiseTracking[[#This Row],[Termine vereinbart]]/AkquiseTracking[[#This Row],[Gespräche mit Empfang]],0)</f>
        <v>0</v>
      </c>
    </row>
    <row r="127" spans="1:8" ht="22.5" customHeight="1">
      <c r="A127" s="160"/>
      <c r="B127" s="161"/>
      <c r="C127" s="161"/>
      <c r="D127" s="163">
        <f>IFERROR(AkquiseTracking[[#This Row],[Wählversuche]]/AkquiseTracking[[#This Row],[Gespräche mit Empfang]],0)</f>
        <v>0</v>
      </c>
      <c r="E127" s="161"/>
      <c r="F127" s="163">
        <f>IFERROR(AkquiseTracking[[#This Row],[Gespräche mit Entscheider]]/AkquiseTracking[[#This Row],[Gespräche mit Empfang]],0)</f>
        <v>0</v>
      </c>
      <c r="G127" s="161"/>
      <c r="H127" s="163">
        <f>IFERROR(AkquiseTracking[[#This Row],[Termine vereinbart]]/AkquiseTracking[[#This Row],[Gespräche mit Empfang]],0)</f>
        <v>0</v>
      </c>
    </row>
    <row r="128" spans="1:8" ht="22.5" customHeight="1">
      <c r="A128" s="160"/>
      <c r="B128" s="161"/>
      <c r="C128" s="161"/>
      <c r="D128" s="163">
        <f>IFERROR(AkquiseTracking[[#This Row],[Wählversuche]]/AkquiseTracking[[#This Row],[Gespräche mit Empfang]],0)</f>
        <v>0</v>
      </c>
      <c r="E128" s="161"/>
      <c r="F128" s="163">
        <f>IFERROR(AkquiseTracking[[#This Row],[Gespräche mit Entscheider]]/AkquiseTracking[[#This Row],[Gespräche mit Empfang]],0)</f>
        <v>0</v>
      </c>
      <c r="G128" s="161"/>
      <c r="H128" s="163">
        <f>IFERROR(AkquiseTracking[[#This Row],[Termine vereinbart]]/AkquiseTracking[[#This Row],[Gespräche mit Empfang]],0)</f>
        <v>0</v>
      </c>
    </row>
    <row r="129" spans="1:8" ht="22.5" customHeight="1">
      <c r="A129" s="160"/>
      <c r="B129" s="161"/>
      <c r="C129" s="161"/>
      <c r="D129" s="163">
        <f>IFERROR(AkquiseTracking[[#This Row],[Wählversuche]]/AkquiseTracking[[#This Row],[Gespräche mit Empfang]],0)</f>
        <v>0</v>
      </c>
      <c r="E129" s="161"/>
      <c r="F129" s="163">
        <f>IFERROR(AkquiseTracking[[#This Row],[Gespräche mit Entscheider]]/AkquiseTracking[[#This Row],[Gespräche mit Empfang]],0)</f>
        <v>0</v>
      </c>
      <c r="G129" s="161"/>
      <c r="H129" s="163">
        <f>IFERROR(AkquiseTracking[[#This Row],[Termine vereinbart]]/AkquiseTracking[[#This Row],[Gespräche mit Empfang]],0)</f>
        <v>0</v>
      </c>
    </row>
    <row r="130" spans="1:8" ht="22.5" customHeight="1">
      <c r="A130" s="160"/>
      <c r="B130" s="161"/>
      <c r="C130" s="161"/>
      <c r="D130" s="163">
        <f>IFERROR(AkquiseTracking[[#This Row],[Wählversuche]]/AkquiseTracking[[#This Row],[Gespräche mit Empfang]],0)</f>
        <v>0</v>
      </c>
      <c r="E130" s="161"/>
      <c r="F130" s="163">
        <f>IFERROR(AkquiseTracking[[#This Row],[Gespräche mit Entscheider]]/AkquiseTracking[[#This Row],[Gespräche mit Empfang]],0)</f>
        <v>0</v>
      </c>
      <c r="G130" s="161"/>
      <c r="H130" s="163">
        <f>IFERROR(AkquiseTracking[[#This Row],[Termine vereinbart]]/AkquiseTracking[[#This Row],[Gespräche mit Empfang]],0)</f>
        <v>0</v>
      </c>
    </row>
    <row r="131" spans="1:8" ht="22.5" customHeight="1">
      <c r="A131" s="160"/>
      <c r="B131" s="161"/>
      <c r="C131" s="161"/>
      <c r="D131" s="163">
        <f>IFERROR(AkquiseTracking[[#This Row],[Wählversuche]]/AkquiseTracking[[#This Row],[Gespräche mit Empfang]],0)</f>
        <v>0</v>
      </c>
      <c r="E131" s="161"/>
      <c r="F131" s="163">
        <f>IFERROR(AkquiseTracking[[#This Row],[Gespräche mit Entscheider]]/AkquiseTracking[[#This Row],[Gespräche mit Empfang]],0)</f>
        <v>0</v>
      </c>
      <c r="G131" s="161"/>
      <c r="H131" s="163">
        <f>IFERROR(AkquiseTracking[[#This Row],[Termine vereinbart]]/AkquiseTracking[[#This Row],[Gespräche mit Empfang]],0)</f>
        <v>0</v>
      </c>
    </row>
    <row r="132" spans="1:8" ht="22.5" customHeight="1">
      <c r="A132" s="160"/>
      <c r="B132" s="161"/>
      <c r="C132" s="161"/>
      <c r="D132" s="163">
        <f>IFERROR(AkquiseTracking[[#This Row],[Wählversuche]]/AkquiseTracking[[#This Row],[Gespräche mit Empfang]],0)</f>
        <v>0</v>
      </c>
      <c r="E132" s="161"/>
      <c r="F132" s="163">
        <f>IFERROR(AkquiseTracking[[#This Row],[Gespräche mit Entscheider]]/AkquiseTracking[[#This Row],[Gespräche mit Empfang]],0)</f>
        <v>0</v>
      </c>
      <c r="G132" s="161"/>
      <c r="H132" s="163">
        <f>IFERROR(AkquiseTracking[[#This Row],[Termine vereinbart]]/AkquiseTracking[[#This Row],[Gespräche mit Empfang]],0)</f>
        <v>0</v>
      </c>
    </row>
    <row r="133" spans="1:8" ht="22.5" customHeight="1">
      <c r="A133" s="160"/>
      <c r="B133" s="161"/>
      <c r="C133" s="161"/>
      <c r="D133" s="163">
        <f>IFERROR(AkquiseTracking[[#This Row],[Wählversuche]]/AkquiseTracking[[#This Row],[Gespräche mit Empfang]],0)</f>
        <v>0</v>
      </c>
      <c r="E133" s="161"/>
      <c r="F133" s="163">
        <f>IFERROR(AkquiseTracking[[#This Row],[Gespräche mit Entscheider]]/AkquiseTracking[[#This Row],[Gespräche mit Empfang]],0)</f>
        <v>0</v>
      </c>
      <c r="G133" s="161"/>
      <c r="H133" s="163">
        <f>IFERROR(AkquiseTracking[[#This Row],[Termine vereinbart]]/AkquiseTracking[[#This Row],[Gespräche mit Empfang]],0)</f>
        <v>0</v>
      </c>
    </row>
    <row r="134" spans="1:8" ht="22.5" customHeight="1">
      <c r="A134" s="160"/>
      <c r="B134" s="161"/>
      <c r="C134" s="161"/>
      <c r="D134" s="163">
        <f>IFERROR(AkquiseTracking[[#This Row],[Wählversuche]]/AkquiseTracking[[#This Row],[Gespräche mit Empfang]],0)</f>
        <v>0</v>
      </c>
      <c r="E134" s="161"/>
      <c r="F134" s="163">
        <f>IFERROR(AkquiseTracking[[#This Row],[Gespräche mit Entscheider]]/AkquiseTracking[[#This Row],[Gespräche mit Empfang]],0)</f>
        <v>0</v>
      </c>
      <c r="G134" s="161"/>
      <c r="H134" s="163">
        <f>IFERROR(AkquiseTracking[[#This Row],[Termine vereinbart]]/AkquiseTracking[[#This Row],[Gespräche mit Empfang]],0)</f>
        <v>0</v>
      </c>
    </row>
    <row r="135" spans="1:8" ht="22.5" customHeight="1">
      <c r="A135" s="160"/>
      <c r="B135" s="161"/>
      <c r="C135" s="161"/>
      <c r="D135" s="163">
        <f>IFERROR(AkquiseTracking[[#This Row],[Wählversuche]]/AkquiseTracking[[#This Row],[Gespräche mit Empfang]],0)</f>
        <v>0</v>
      </c>
      <c r="E135" s="161"/>
      <c r="F135" s="163">
        <f>IFERROR(AkquiseTracking[[#This Row],[Gespräche mit Entscheider]]/AkquiseTracking[[#This Row],[Gespräche mit Empfang]],0)</f>
        <v>0</v>
      </c>
      <c r="G135" s="161"/>
      <c r="H135" s="163">
        <f>IFERROR(AkquiseTracking[[#This Row],[Termine vereinbart]]/AkquiseTracking[[#This Row],[Gespräche mit Empfang]],0)</f>
        <v>0</v>
      </c>
    </row>
    <row r="136" spans="1:8" ht="22.5" customHeight="1">
      <c r="A136" s="160"/>
      <c r="B136" s="161"/>
      <c r="C136" s="161"/>
      <c r="D136" s="163">
        <f>IFERROR(AkquiseTracking[[#This Row],[Wählversuche]]/AkquiseTracking[[#This Row],[Gespräche mit Empfang]],0)</f>
        <v>0</v>
      </c>
      <c r="E136" s="161"/>
      <c r="F136" s="163">
        <f>IFERROR(AkquiseTracking[[#This Row],[Gespräche mit Entscheider]]/AkquiseTracking[[#This Row],[Gespräche mit Empfang]],0)</f>
        <v>0</v>
      </c>
      <c r="G136" s="161"/>
      <c r="H136" s="163">
        <f>IFERROR(AkquiseTracking[[#This Row],[Termine vereinbart]]/AkquiseTracking[[#This Row],[Gespräche mit Empfang]],0)</f>
        <v>0</v>
      </c>
    </row>
    <row r="137" spans="1:8" ht="22.5" customHeight="1">
      <c r="A137" s="160"/>
      <c r="B137" s="161"/>
      <c r="C137" s="161"/>
      <c r="D137" s="163">
        <f>IFERROR(AkquiseTracking[[#This Row],[Wählversuche]]/AkquiseTracking[[#This Row],[Gespräche mit Empfang]],0)</f>
        <v>0</v>
      </c>
      <c r="E137" s="161"/>
      <c r="F137" s="163">
        <f>IFERROR(AkquiseTracking[[#This Row],[Gespräche mit Entscheider]]/AkquiseTracking[[#This Row],[Gespräche mit Empfang]],0)</f>
        <v>0</v>
      </c>
      <c r="G137" s="161"/>
      <c r="H137" s="163">
        <f>IFERROR(AkquiseTracking[[#This Row],[Termine vereinbart]]/AkquiseTracking[[#This Row],[Gespräche mit Empfang]],0)</f>
        <v>0</v>
      </c>
    </row>
    <row r="138" spans="1:8" ht="22.5" customHeight="1">
      <c r="A138" s="160"/>
      <c r="B138" s="161"/>
      <c r="C138" s="161"/>
      <c r="D138" s="163">
        <f>IFERROR(AkquiseTracking[[#This Row],[Wählversuche]]/AkquiseTracking[[#This Row],[Gespräche mit Empfang]],0)</f>
        <v>0</v>
      </c>
      <c r="E138" s="161"/>
      <c r="F138" s="163">
        <f>IFERROR(AkquiseTracking[[#This Row],[Gespräche mit Entscheider]]/AkquiseTracking[[#This Row],[Gespräche mit Empfang]],0)</f>
        <v>0</v>
      </c>
      <c r="G138" s="161"/>
      <c r="H138" s="163">
        <f>IFERROR(AkquiseTracking[[#This Row],[Termine vereinbart]]/AkquiseTracking[[#This Row],[Gespräche mit Empfang]],0)</f>
        <v>0</v>
      </c>
    </row>
    <row r="139" spans="1:8" ht="22.5" customHeight="1">
      <c r="A139" s="160"/>
      <c r="B139" s="161"/>
      <c r="C139" s="161"/>
      <c r="D139" s="163">
        <f>IFERROR(AkquiseTracking[[#This Row],[Wählversuche]]/AkquiseTracking[[#This Row],[Gespräche mit Empfang]],0)</f>
        <v>0</v>
      </c>
      <c r="E139" s="161"/>
      <c r="F139" s="163">
        <f>IFERROR(AkquiseTracking[[#This Row],[Gespräche mit Entscheider]]/AkquiseTracking[[#This Row],[Gespräche mit Empfang]],0)</f>
        <v>0</v>
      </c>
      <c r="G139" s="161"/>
      <c r="H139" s="163">
        <f>IFERROR(AkquiseTracking[[#This Row],[Termine vereinbart]]/AkquiseTracking[[#This Row],[Gespräche mit Empfang]],0)</f>
        <v>0</v>
      </c>
    </row>
    <row r="140" spans="1:8" ht="22.5" customHeight="1">
      <c r="A140" s="160"/>
      <c r="B140" s="161"/>
      <c r="C140" s="161"/>
      <c r="D140" s="163">
        <f>IFERROR(AkquiseTracking[[#This Row],[Wählversuche]]/AkquiseTracking[[#This Row],[Gespräche mit Empfang]],0)</f>
        <v>0</v>
      </c>
      <c r="E140" s="161"/>
      <c r="F140" s="163">
        <f>IFERROR(AkquiseTracking[[#This Row],[Gespräche mit Entscheider]]/AkquiseTracking[[#This Row],[Gespräche mit Empfang]],0)</f>
        <v>0</v>
      </c>
      <c r="G140" s="161"/>
      <c r="H140" s="163">
        <f>IFERROR(AkquiseTracking[[#This Row],[Termine vereinbart]]/AkquiseTracking[[#This Row],[Gespräche mit Empfang]],0)</f>
        <v>0</v>
      </c>
    </row>
    <row r="141" spans="1:8" ht="22.5" customHeight="1">
      <c r="A141" s="160"/>
      <c r="B141" s="161"/>
      <c r="C141" s="161"/>
      <c r="D141" s="163">
        <f>IFERROR(AkquiseTracking[[#This Row],[Wählversuche]]/AkquiseTracking[[#This Row],[Gespräche mit Empfang]],0)</f>
        <v>0</v>
      </c>
      <c r="E141" s="161"/>
      <c r="F141" s="163">
        <f>IFERROR(AkquiseTracking[[#This Row],[Gespräche mit Entscheider]]/AkquiseTracking[[#This Row],[Gespräche mit Empfang]],0)</f>
        <v>0</v>
      </c>
      <c r="G141" s="161"/>
      <c r="H141" s="163">
        <f>IFERROR(AkquiseTracking[[#This Row],[Termine vereinbart]]/AkquiseTracking[[#This Row],[Gespräche mit Empfang]],0)</f>
        <v>0</v>
      </c>
    </row>
    <row r="142" spans="1:8" ht="22.5" customHeight="1">
      <c r="A142" s="160"/>
      <c r="B142" s="161"/>
      <c r="C142" s="161"/>
      <c r="D142" s="163">
        <f>IFERROR(AkquiseTracking[[#This Row],[Wählversuche]]/AkquiseTracking[[#This Row],[Gespräche mit Empfang]],0)</f>
        <v>0</v>
      </c>
      <c r="E142" s="161"/>
      <c r="F142" s="163">
        <f>IFERROR(AkquiseTracking[[#This Row],[Gespräche mit Entscheider]]/AkquiseTracking[[#This Row],[Gespräche mit Empfang]],0)</f>
        <v>0</v>
      </c>
      <c r="G142" s="161"/>
      <c r="H142" s="163">
        <f>IFERROR(AkquiseTracking[[#This Row],[Termine vereinbart]]/AkquiseTracking[[#This Row],[Gespräche mit Empfang]],0)</f>
        <v>0</v>
      </c>
    </row>
    <row r="143" spans="1:8" ht="22.5" customHeight="1">
      <c r="A143" s="160"/>
      <c r="B143" s="161"/>
      <c r="C143" s="161"/>
      <c r="D143" s="163">
        <f>IFERROR(AkquiseTracking[[#This Row],[Wählversuche]]/AkquiseTracking[[#This Row],[Gespräche mit Empfang]],0)</f>
        <v>0</v>
      </c>
      <c r="E143" s="161"/>
      <c r="F143" s="163">
        <f>IFERROR(AkquiseTracking[[#This Row],[Gespräche mit Entscheider]]/AkquiseTracking[[#This Row],[Gespräche mit Empfang]],0)</f>
        <v>0</v>
      </c>
      <c r="G143" s="161"/>
      <c r="H143" s="163">
        <f>IFERROR(AkquiseTracking[[#This Row],[Termine vereinbart]]/AkquiseTracking[[#This Row],[Gespräche mit Empfang]],0)</f>
        <v>0</v>
      </c>
    </row>
    <row r="144" spans="1:8" ht="22.5" customHeight="1">
      <c r="A144" s="160"/>
      <c r="B144" s="161"/>
      <c r="C144" s="161"/>
      <c r="D144" s="163">
        <f>IFERROR(AkquiseTracking[[#This Row],[Wählversuche]]/AkquiseTracking[[#This Row],[Gespräche mit Empfang]],0)</f>
        <v>0</v>
      </c>
      <c r="E144" s="161"/>
      <c r="F144" s="163">
        <f>IFERROR(AkquiseTracking[[#This Row],[Gespräche mit Entscheider]]/AkquiseTracking[[#This Row],[Gespräche mit Empfang]],0)</f>
        <v>0</v>
      </c>
      <c r="G144" s="161"/>
      <c r="H144" s="163">
        <f>IFERROR(AkquiseTracking[[#This Row],[Termine vereinbart]]/AkquiseTracking[[#This Row],[Gespräche mit Empfang]],0)</f>
        <v>0</v>
      </c>
    </row>
    <row r="145" spans="1:8" ht="22.5" customHeight="1">
      <c r="A145" s="160"/>
      <c r="B145" s="161"/>
      <c r="C145" s="161"/>
      <c r="D145" s="163">
        <f>IFERROR(AkquiseTracking[[#This Row],[Wählversuche]]/AkquiseTracking[[#This Row],[Gespräche mit Empfang]],0)</f>
        <v>0</v>
      </c>
      <c r="E145" s="161"/>
      <c r="F145" s="163">
        <f>IFERROR(AkquiseTracking[[#This Row],[Gespräche mit Entscheider]]/AkquiseTracking[[#This Row],[Gespräche mit Empfang]],0)</f>
        <v>0</v>
      </c>
      <c r="G145" s="161"/>
      <c r="H145" s="163">
        <f>IFERROR(AkquiseTracking[[#This Row],[Termine vereinbart]]/AkquiseTracking[[#This Row],[Gespräche mit Empfang]],0)</f>
        <v>0</v>
      </c>
    </row>
    <row r="146" spans="1:8" ht="22.5" customHeight="1">
      <c r="A146" s="160"/>
      <c r="B146" s="161"/>
      <c r="C146" s="161"/>
      <c r="D146" s="163">
        <f>IFERROR(AkquiseTracking[[#This Row],[Wählversuche]]/AkquiseTracking[[#This Row],[Gespräche mit Empfang]],0)</f>
        <v>0</v>
      </c>
      <c r="E146" s="161"/>
      <c r="F146" s="163">
        <f>IFERROR(AkquiseTracking[[#This Row],[Gespräche mit Entscheider]]/AkquiseTracking[[#This Row],[Gespräche mit Empfang]],0)</f>
        <v>0</v>
      </c>
      <c r="G146" s="161"/>
      <c r="H146" s="163">
        <f>IFERROR(AkquiseTracking[[#This Row],[Termine vereinbart]]/AkquiseTracking[[#This Row],[Gespräche mit Empfang]],0)</f>
        <v>0</v>
      </c>
    </row>
    <row r="147" spans="1:8" ht="22.5" customHeight="1">
      <c r="A147" s="160"/>
      <c r="B147" s="161"/>
      <c r="C147" s="161"/>
      <c r="D147" s="163">
        <f>IFERROR(AkquiseTracking[[#This Row],[Wählversuche]]/AkquiseTracking[[#This Row],[Gespräche mit Empfang]],0)</f>
        <v>0</v>
      </c>
      <c r="E147" s="161"/>
      <c r="F147" s="163">
        <f>IFERROR(AkquiseTracking[[#This Row],[Gespräche mit Entscheider]]/AkquiseTracking[[#This Row],[Gespräche mit Empfang]],0)</f>
        <v>0</v>
      </c>
      <c r="G147" s="161"/>
      <c r="H147" s="163">
        <f>IFERROR(AkquiseTracking[[#This Row],[Termine vereinbart]]/AkquiseTracking[[#This Row],[Gespräche mit Empfang]],0)</f>
        <v>0</v>
      </c>
    </row>
    <row r="148" spans="1:8" ht="22.5" customHeight="1">
      <c r="A148" s="160"/>
      <c r="B148" s="161"/>
      <c r="C148" s="161"/>
      <c r="D148" s="163">
        <f>IFERROR(AkquiseTracking[[#This Row],[Wählversuche]]/AkquiseTracking[[#This Row],[Gespräche mit Empfang]],0)</f>
        <v>0</v>
      </c>
      <c r="E148" s="161"/>
      <c r="F148" s="163">
        <f>IFERROR(AkquiseTracking[[#This Row],[Gespräche mit Entscheider]]/AkquiseTracking[[#This Row],[Gespräche mit Empfang]],0)</f>
        <v>0</v>
      </c>
      <c r="G148" s="161"/>
      <c r="H148" s="163">
        <f>IFERROR(AkquiseTracking[[#This Row],[Termine vereinbart]]/AkquiseTracking[[#This Row],[Gespräche mit Empfang]],0)</f>
        <v>0</v>
      </c>
    </row>
    <row r="149" spans="1:8" ht="22.5" customHeight="1">
      <c r="A149" s="160"/>
      <c r="B149" s="161"/>
      <c r="C149" s="161"/>
      <c r="D149" s="163">
        <f>IFERROR(AkquiseTracking[[#This Row],[Wählversuche]]/AkquiseTracking[[#This Row],[Gespräche mit Empfang]],0)</f>
        <v>0</v>
      </c>
      <c r="E149" s="161"/>
      <c r="F149" s="163">
        <f>IFERROR(AkquiseTracking[[#This Row],[Gespräche mit Entscheider]]/AkquiseTracking[[#This Row],[Gespräche mit Empfang]],0)</f>
        <v>0</v>
      </c>
      <c r="G149" s="161"/>
      <c r="H149" s="163">
        <f>IFERROR(AkquiseTracking[[#This Row],[Termine vereinbart]]/AkquiseTracking[[#This Row],[Gespräche mit Empfang]],0)</f>
        <v>0</v>
      </c>
    </row>
    <row r="150" spans="1:8" ht="22.5" customHeight="1">
      <c r="A150" s="160"/>
      <c r="B150" s="161"/>
      <c r="C150" s="161"/>
      <c r="D150" s="163">
        <f>IFERROR(AkquiseTracking[[#This Row],[Wählversuche]]/AkquiseTracking[[#This Row],[Gespräche mit Empfang]],0)</f>
        <v>0</v>
      </c>
      <c r="E150" s="161"/>
      <c r="F150" s="163">
        <f>IFERROR(AkquiseTracking[[#This Row],[Gespräche mit Entscheider]]/AkquiseTracking[[#This Row],[Gespräche mit Empfang]],0)</f>
        <v>0</v>
      </c>
      <c r="G150" s="161"/>
      <c r="H150" s="163">
        <f>IFERROR(AkquiseTracking[[#This Row],[Termine vereinbart]]/AkquiseTracking[[#This Row],[Gespräche mit Empfang]],0)</f>
        <v>0</v>
      </c>
    </row>
    <row r="151" spans="1:8" ht="22.5" customHeight="1">
      <c r="A151" s="160"/>
      <c r="B151" s="161"/>
      <c r="C151" s="161"/>
      <c r="D151" s="163">
        <f>IFERROR(AkquiseTracking[[#This Row],[Wählversuche]]/AkquiseTracking[[#This Row],[Gespräche mit Empfang]],0)</f>
        <v>0</v>
      </c>
      <c r="E151" s="161"/>
      <c r="F151" s="163">
        <f>IFERROR(AkquiseTracking[[#This Row],[Gespräche mit Entscheider]]/AkquiseTracking[[#This Row],[Gespräche mit Empfang]],0)</f>
        <v>0</v>
      </c>
      <c r="G151" s="161"/>
      <c r="H151" s="163">
        <f>IFERROR(AkquiseTracking[[#This Row],[Termine vereinbart]]/AkquiseTracking[[#This Row],[Gespräche mit Empfang]],0)</f>
        <v>0</v>
      </c>
    </row>
    <row r="152" spans="1:8" ht="22.5" customHeight="1">
      <c r="A152" s="160"/>
      <c r="B152" s="161"/>
      <c r="C152" s="161"/>
      <c r="D152" s="163">
        <f>IFERROR(AkquiseTracking[[#This Row],[Wählversuche]]/AkquiseTracking[[#This Row],[Gespräche mit Empfang]],0)</f>
        <v>0</v>
      </c>
      <c r="E152" s="161"/>
      <c r="F152" s="163">
        <f>IFERROR(AkquiseTracking[[#This Row],[Gespräche mit Entscheider]]/AkquiseTracking[[#This Row],[Gespräche mit Empfang]],0)</f>
        <v>0</v>
      </c>
      <c r="G152" s="161"/>
      <c r="H152" s="163">
        <f>IFERROR(AkquiseTracking[[#This Row],[Termine vereinbart]]/AkquiseTracking[[#This Row],[Gespräche mit Empfang]],0)</f>
        <v>0</v>
      </c>
    </row>
    <row r="153" spans="1:8" ht="22.5" customHeight="1">
      <c r="A153" s="160"/>
      <c r="B153" s="161"/>
      <c r="C153" s="161"/>
      <c r="D153" s="163">
        <f>IFERROR(AkquiseTracking[[#This Row],[Wählversuche]]/AkquiseTracking[[#This Row],[Gespräche mit Empfang]],0)</f>
        <v>0</v>
      </c>
      <c r="E153" s="161"/>
      <c r="F153" s="163">
        <f>IFERROR(AkquiseTracking[[#This Row],[Gespräche mit Entscheider]]/AkquiseTracking[[#This Row],[Gespräche mit Empfang]],0)</f>
        <v>0</v>
      </c>
      <c r="G153" s="161"/>
      <c r="H153" s="163">
        <f>IFERROR(AkquiseTracking[[#This Row],[Termine vereinbart]]/AkquiseTracking[[#This Row],[Gespräche mit Empfang]],0)</f>
        <v>0</v>
      </c>
    </row>
    <row r="154" spans="1:8" ht="22.5" customHeight="1">
      <c r="A154" s="160"/>
      <c r="B154" s="161"/>
      <c r="C154" s="161"/>
      <c r="D154" s="163">
        <f>IFERROR(AkquiseTracking[[#This Row],[Wählversuche]]/AkquiseTracking[[#This Row],[Gespräche mit Empfang]],0)</f>
        <v>0</v>
      </c>
      <c r="E154" s="161"/>
      <c r="F154" s="163">
        <f>IFERROR(AkquiseTracking[[#This Row],[Gespräche mit Entscheider]]/AkquiseTracking[[#This Row],[Gespräche mit Empfang]],0)</f>
        <v>0</v>
      </c>
      <c r="G154" s="161"/>
      <c r="H154" s="163">
        <f>IFERROR(AkquiseTracking[[#This Row],[Termine vereinbart]]/AkquiseTracking[[#This Row],[Gespräche mit Empfang]],0)</f>
        <v>0</v>
      </c>
    </row>
    <row r="155" spans="1:8" ht="22.5" customHeight="1">
      <c r="A155" s="160"/>
      <c r="B155" s="161"/>
      <c r="C155" s="161"/>
      <c r="D155" s="163">
        <f>IFERROR(AkquiseTracking[[#This Row],[Wählversuche]]/AkquiseTracking[[#This Row],[Gespräche mit Empfang]],0)</f>
        <v>0</v>
      </c>
      <c r="E155" s="161"/>
      <c r="F155" s="163">
        <f>IFERROR(AkquiseTracking[[#This Row],[Gespräche mit Entscheider]]/AkquiseTracking[[#This Row],[Gespräche mit Empfang]],0)</f>
        <v>0</v>
      </c>
      <c r="G155" s="161"/>
      <c r="H155" s="163">
        <f>IFERROR(AkquiseTracking[[#This Row],[Termine vereinbart]]/AkquiseTracking[[#This Row],[Gespräche mit Empfang]],0)</f>
        <v>0</v>
      </c>
    </row>
    <row r="156" spans="1:8" ht="22.5" customHeight="1">
      <c r="A156" s="160"/>
      <c r="B156" s="161"/>
      <c r="C156" s="161"/>
      <c r="D156" s="163">
        <f>IFERROR(AkquiseTracking[[#This Row],[Wählversuche]]/AkquiseTracking[[#This Row],[Gespräche mit Empfang]],0)</f>
        <v>0</v>
      </c>
      <c r="E156" s="161"/>
      <c r="F156" s="163">
        <f>IFERROR(AkquiseTracking[[#This Row],[Gespräche mit Entscheider]]/AkquiseTracking[[#This Row],[Gespräche mit Empfang]],0)</f>
        <v>0</v>
      </c>
      <c r="G156" s="161"/>
      <c r="H156" s="163">
        <f>IFERROR(AkquiseTracking[[#This Row],[Termine vereinbart]]/AkquiseTracking[[#This Row],[Gespräche mit Empfang]],0)</f>
        <v>0</v>
      </c>
    </row>
    <row r="157" spans="1:8" ht="22.5" customHeight="1">
      <c r="A157" s="160"/>
      <c r="B157" s="161"/>
      <c r="C157" s="161"/>
      <c r="D157" s="163">
        <f>IFERROR(AkquiseTracking[[#This Row],[Wählversuche]]/AkquiseTracking[[#This Row],[Gespräche mit Empfang]],0)</f>
        <v>0</v>
      </c>
      <c r="E157" s="161"/>
      <c r="F157" s="163">
        <f>IFERROR(AkquiseTracking[[#This Row],[Gespräche mit Entscheider]]/AkquiseTracking[[#This Row],[Gespräche mit Empfang]],0)</f>
        <v>0</v>
      </c>
      <c r="G157" s="161"/>
      <c r="H157" s="163">
        <f>IFERROR(AkquiseTracking[[#This Row],[Termine vereinbart]]/AkquiseTracking[[#This Row],[Gespräche mit Empfang]],0)</f>
        <v>0</v>
      </c>
    </row>
    <row r="158" spans="1:8" ht="22.5" customHeight="1">
      <c r="A158" s="160"/>
      <c r="B158" s="161"/>
      <c r="C158" s="161"/>
      <c r="D158" s="163">
        <f>IFERROR(AkquiseTracking[[#This Row],[Wählversuche]]/AkquiseTracking[[#This Row],[Gespräche mit Empfang]],0)</f>
        <v>0</v>
      </c>
      <c r="E158" s="161"/>
      <c r="F158" s="163">
        <f>IFERROR(AkquiseTracking[[#This Row],[Gespräche mit Entscheider]]/AkquiseTracking[[#This Row],[Gespräche mit Empfang]],0)</f>
        <v>0</v>
      </c>
      <c r="G158" s="161"/>
      <c r="H158" s="163">
        <f>IFERROR(AkquiseTracking[[#This Row],[Termine vereinbart]]/AkquiseTracking[[#This Row],[Gespräche mit Empfang]],0)</f>
        <v>0</v>
      </c>
    </row>
    <row r="159" spans="1:8" ht="22.5" customHeight="1">
      <c r="A159" s="160"/>
      <c r="B159" s="161"/>
      <c r="C159" s="161"/>
      <c r="D159" s="163">
        <f>IFERROR(AkquiseTracking[[#This Row],[Wählversuche]]/AkquiseTracking[[#This Row],[Gespräche mit Empfang]],0)</f>
        <v>0</v>
      </c>
      <c r="E159" s="161"/>
      <c r="F159" s="163">
        <f>IFERROR(AkquiseTracking[[#This Row],[Gespräche mit Entscheider]]/AkquiseTracking[[#This Row],[Gespräche mit Empfang]],0)</f>
        <v>0</v>
      </c>
      <c r="G159" s="161"/>
      <c r="H159" s="163">
        <f>IFERROR(AkquiseTracking[[#This Row],[Termine vereinbart]]/AkquiseTracking[[#This Row],[Gespräche mit Empfang]],0)</f>
        <v>0</v>
      </c>
    </row>
    <row r="160" spans="1:8" ht="22.5" customHeight="1">
      <c r="A160" s="160"/>
      <c r="B160" s="161"/>
      <c r="C160" s="161"/>
      <c r="D160" s="163">
        <f>IFERROR(AkquiseTracking[[#This Row],[Wählversuche]]/AkquiseTracking[[#This Row],[Gespräche mit Empfang]],0)</f>
        <v>0</v>
      </c>
      <c r="E160" s="161"/>
      <c r="F160" s="163">
        <f>IFERROR(AkquiseTracking[[#This Row],[Gespräche mit Entscheider]]/AkquiseTracking[[#This Row],[Gespräche mit Empfang]],0)</f>
        <v>0</v>
      </c>
      <c r="G160" s="161"/>
      <c r="H160" s="163">
        <f>IFERROR(AkquiseTracking[[#This Row],[Termine vereinbart]]/AkquiseTracking[[#This Row],[Gespräche mit Empfang]],0)</f>
        <v>0</v>
      </c>
    </row>
    <row r="161" spans="1:8" ht="22.5" customHeight="1">
      <c r="A161" s="160"/>
      <c r="B161" s="161"/>
      <c r="C161" s="161"/>
      <c r="D161" s="163">
        <f>IFERROR(AkquiseTracking[[#This Row],[Wählversuche]]/AkquiseTracking[[#This Row],[Gespräche mit Empfang]],0)</f>
        <v>0</v>
      </c>
      <c r="E161" s="161"/>
      <c r="F161" s="163">
        <f>IFERROR(AkquiseTracking[[#This Row],[Gespräche mit Entscheider]]/AkquiseTracking[[#This Row],[Gespräche mit Empfang]],0)</f>
        <v>0</v>
      </c>
      <c r="G161" s="161"/>
      <c r="H161" s="163">
        <f>IFERROR(AkquiseTracking[[#This Row],[Termine vereinbart]]/AkquiseTracking[[#This Row],[Gespräche mit Empfang]],0)</f>
        <v>0</v>
      </c>
    </row>
    <row r="162" spans="1:8" ht="22.5" customHeight="1">
      <c r="A162" s="160"/>
      <c r="B162" s="161"/>
      <c r="C162" s="161"/>
      <c r="D162" s="163">
        <f>IFERROR(AkquiseTracking[[#This Row],[Wählversuche]]/AkquiseTracking[[#This Row],[Gespräche mit Empfang]],0)</f>
        <v>0</v>
      </c>
      <c r="E162" s="161"/>
      <c r="F162" s="163">
        <f>IFERROR(AkquiseTracking[[#This Row],[Gespräche mit Entscheider]]/AkquiseTracking[[#This Row],[Gespräche mit Empfang]],0)</f>
        <v>0</v>
      </c>
      <c r="G162" s="161"/>
      <c r="H162" s="163">
        <f>IFERROR(AkquiseTracking[[#This Row],[Termine vereinbart]]/AkquiseTracking[[#This Row],[Gespräche mit Empfang]],0)</f>
        <v>0</v>
      </c>
    </row>
    <row r="163" spans="1:8" ht="22.5" customHeight="1">
      <c r="A163" s="160"/>
      <c r="B163" s="161"/>
      <c r="C163" s="161"/>
      <c r="D163" s="163">
        <f>IFERROR(AkquiseTracking[[#This Row],[Wählversuche]]/AkquiseTracking[[#This Row],[Gespräche mit Empfang]],0)</f>
        <v>0</v>
      </c>
      <c r="E163" s="161"/>
      <c r="F163" s="163">
        <f>IFERROR(AkquiseTracking[[#This Row],[Gespräche mit Entscheider]]/AkquiseTracking[[#This Row],[Gespräche mit Empfang]],0)</f>
        <v>0</v>
      </c>
      <c r="G163" s="161"/>
      <c r="H163" s="163">
        <f>IFERROR(AkquiseTracking[[#This Row],[Termine vereinbart]]/AkquiseTracking[[#This Row],[Gespräche mit Empfang]],0)</f>
        <v>0</v>
      </c>
    </row>
    <row r="164" spans="1:8" ht="22.5" customHeight="1">
      <c r="A164" s="160"/>
      <c r="B164" s="161"/>
      <c r="C164" s="161"/>
      <c r="D164" s="163">
        <f>IFERROR(AkquiseTracking[[#This Row],[Wählversuche]]/AkquiseTracking[[#This Row],[Gespräche mit Empfang]],0)</f>
        <v>0</v>
      </c>
      <c r="E164" s="161"/>
      <c r="F164" s="163">
        <f>IFERROR(AkquiseTracking[[#This Row],[Gespräche mit Entscheider]]/AkquiseTracking[[#This Row],[Gespräche mit Empfang]],0)</f>
        <v>0</v>
      </c>
      <c r="G164" s="161"/>
      <c r="H164" s="163">
        <f>IFERROR(AkquiseTracking[[#This Row],[Termine vereinbart]]/AkquiseTracking[[#This Row],[Gespräche mit Empfang]],0)</f>
        <v>0</v>
      </c>
    </row>
    <row r="165" spans="1:8" ht="22.5" customHeight="1">
      <c r="A165" s="160"/>
      <c r="B165" s="161"/>
      <c r="C165" s="161"/>
      <c r="D165" s="163">
        <f>IFERROR(AkquiseTracking[[#This Row],[Wählversuche]]/AkquiseTracking[[#This Row],[Gespräche mit Empfang]],0)</f>
        <v>0</v>
      </c>
      <c r="E165" s="161"/>
      <c r="F165" s="163">
        <f>IFERROR(AkquiseTracking[[#This Row],[Gespräche mit Entscheider]]/AkquiseTracking[[#This Row],[Gespräche mit Empfang]],0)</f>
        <v>0</v>
      </c>
      <c r="G165" s="161"/>
      <c r="H165" s="163">
        <f>IFERROR(AkquiseTracking[[#This Row],[Termine vereinbart]]/AkquiseTracking[[#This Row],[Gespräche mit Empfang]],0)</f>
        <v>0</v>
      </c>
    </row>
    <row r="166" spans="1:8" ht="22.5" customHeight="1">
      <c r="A166" s="160"/>
      <c r="B166" s="161"/>
      <c r="C166" s="161"/>
      <c r="D166" s="163">
        <f>IFERROR(AkquiseTracking[[#This Row],[Wählversuche]]/AkquiseTracking[[#This Row],[Gespräche mit Empfang]],0)</f>
        <v>0</v>
      </c>
      <c r="E166" s="161"/>
      <c r="F166" s="163">
        <f>IFERROR(AkquiseTracking[[#This Row],[Gespräche mit Entscheider]]/AkquiseTracking[[#This Row],[Gespräche mit Empfang]],0)</f>
        <v>0</v>
      </c>
      <c r="G166" s="161"/>
      <c r="H166" s="163">
        <f>IFERROR(AkquiseTracking[[#This Row],[Termine vereinbart]]/AkquiseTracking[[#This Row],[Gespräche mit Empfang]],0)</f>
        <v>0</v>
      </c>
    </row>
    <row r="167" spans="1:8" ht="22.5" customHeight="1">
      <c r="A167" s="160"/>
      <c r="B167" s="161"/>
      <c r="C167" s="161"/>
      <c r="D167" s="163">
        <f>IFERROR(AkquiseTracking[[#This Row],[Wählversuche]]/AkquiseTracking[[#This Row],[Gespräche mit Empfang]],0)</f>
        <v>0</v>
      </c>
      <c r="E167" s="161"/>
      <c r="F167" s="163">
        <f>IFERROR(AkquiseTracking[[#This Row],[Gespräche mit Entscheider]]/AkquiseTracking[[#This Row],[Gespräche mit Empfang]],0)</f>
        <v>0</v>
      </c>
      <c r="G167" s="161"/>
      <c r="H167" s="163">
        <f>IFERROR(AkquiseTracking[[#This Row],[Termine vereinbart]]/AkquiseTracking[[#This Row],[Gespräche mit Empfang]],0)</f>
        <v>0</v>
      </c>
    </row>
    <row r="168" spans="1:8" ht="22.5" customHeight="1">
      <c r="A168" s="160"/>
      <c r="B168" s="161"/>
      <c r="C168" s="161"/>
      <c r="D168" s="163">
        <f>IFERROR(AkquiseTracking[[#This Row],[Wählversuche]]/AkquiseTracking[[#This Row],[Gespräche mit Empfang]],0)</f>
        <v>0</v>
      </c>
      <c r="E168" s="161"/>
      <c r="F168" s="163">
        <f>IFERROR(AkquiseTracking[[#This Row],[Gespräche mit Entscheider]]/AkquiseTracking[[#This Row],[Gespräche mit Empfang]],0)</f>
        <v>0</v>
      </c>
      <c r="G168" s="161"/>
      <c r="H168" s="163">
        <f>IFERROR(AkquiseTracking[[#This Row],[Termine vereinbart]]/AkquiseTracking[[#This Row],[Gespräche mit Empfang]],0)</f>
        <v>0</v>
      </c>
    </row>
    <row r="169" spans="1:8" ht="22.5" customHeight="1">
      <c r="A169" s="160"/>
      <c r="B169" s="161"/>
      <c r="C169" s="161"/>
      <c r="D169" s="163">
        <f>IFERROR(AkquiseTracking[[#This Row],[Wählversuche]]/AkquiseTracking[[#This Row],[Gespräche mit Empfang]],0)</f>
        <v>0</v>
      </c>
      <c r="E169" s="161"/>
      <c r="F169" s="163">
        <f>IFERROR(AkquiseTracking[[#This Row],[Gespräche mit Entscheider]]/AkquiseTracking[[#This Row],[Gespräche mit Empfang]],0)</f>
        <v>0</v>
      </c>
      <c r="G169" s="161"/>
      <c r="H169" s="163">
        <f>IFERROR(AkquiseTracking[[#This Row],[Termine vereinbart]]/AkquiseTracking[[#This Row],[Gespräche mit Empfang]],0)</f>
        <v>0</v>
      </c>
    </row>
    <row r="170" spans="1:8" ht="22.5" customHeight="1">
      <c r="A170" s="160"/>
      <c r="B170" s="161"/>
      <c r="C170" s="161"/>
      <c r="D170" s="163">
        <f>IFERROR(AkquiseTracking[[#This Row],[Wählversuche]]/AkquiseTracking[[#This Row],[Gespräche mit Empfang]],0)</f>
        <v>0</v>
      </c>
      <c r="E170" s="161"/>
      <c r="F170" s="163">
        <f>IFERROR(AkquiseTracking[[#This Row],[Gespräche mit Entscheider]]/AkquiseTracking[[#This Row],[Gespräche mit Empfang]],0)</f>
        <v>0</v>
      </c>
      <c r="G170" s="161"/>
      <c r="H170" s="163">
        <f>IFERROR(AkquiseTracking[[#This Row],[Termine vereinbart]]/AkquiseTracking[[#This Row],[Gespräche mit Empfang]],0)</f>
        <v>0</v>
      </c>
    </row>
    <row r="171" spans="1:8" ht="22.5" customHeight="1">
      <c r="A171" s="160"/>
      <c r="B171" s="161"/>
      <c r="C171" s="161"/>
      <c r="D171" s="163">
        <f>IFERROR(AkquiseTracking[[#This Row],[Wählversuche]]/AkquiseTracking[[#This Row],[Gespräche mit Empfang]],0)</f>
        <v>0</v>
      </c>
      <c r="E171" s="161"/>
      <c r="F171" s="163">
        <f>IFERROR(AkquiseTracking[[#This Row],[Gespräche mit Entscheider]]/AkquiseTracking[[#This Row],[Gespräche mit Empfang]],0)</f>
        <v>0</v>
      </c>
      <c r="G171" s="161"/>
      <c r="H171" s="163">
        <f>IFERROR(AkquiseTracking[[#This Row],[Termine vereinbart]]/AkquiseTracking[[#This Row],[Gespräche mit Empfang]],0)</f>
        <v>0</v>
      </c>
    </row>
    <row r="172" spans="1:8" ht="22.5" customHeight="1">
      <c r="A172" s="160"/>
      <c r="B172" s="161"/>
      <c r="C172" s="161"/>
      <c r="D172" s="163">
        <f>IFERROR(AkquiseTracking[[#This Row],[Wählversuche]]/AkquiseTracking[[#This Row],[Gespräche mit Empfang]],0)</f>
        <v>0</v>
      </c>
      <c r="E172" s="161"/>
      <c r="F172" s="163">
        <f>IFERROR(AkquiseTracking[[#This Row],[Gespräche mit Entscheider]]/AkquiseTracking[[#This Row],[Gespräche mit Empfang]],0)</f>
        <v>0</v>
      </c>
      <c r="G172" s="161"/>
      <c r="H172" s="163">
        <f>IFERROR(AkquiseTracking[[#This Row],[Termine vereinbart]]/AkquiseTracking[[#This Row],[Gespräche mit Empfang]],0)</f>
        <v>0</v>
      </c>
    </row>
    <row r="173" spans="1:8" ht="22.5" customHeight="1">
      <c r="A173" s="160"/>
      <c r="B173" s="161"/>
      <c r="C173" s="161"/>
      <c r="D173" s="163">
        <f>IFERROR(AkquiseTracking[[#This Row],[Wählversuche]]/AkquiseTracking[[#This Row],[Gespräche mit Empfang]],0)</f>
        <v>0</v>
      </c>
      <c r="E173" s="161"/>
      <c r="F173" s="163">
        <f>IFERROR(AkquiseTracking[[#This Row],[Gespräche mit Entscheider]]/AkquiseTracking[[#This Row],[Gespräche mit Empfang]],0)</f>
        <v>0</v>
      </c>
      <c r="G173" s="161"/>
      <c r="H173" s="163">
        <f>IFERROR(AkquiseTracking[[#This Row],[Termine vereinbart]]/AkquiseTracking[[#This Row],[Gespräche mit Empfang]],0)</f>
        <v>0</v>
      </c>
    </row>
    <row r="174" spans="1:8" ht="22.5" customHeight="1">
      <c r="A174" s="160"/>
      <c r="B174" s="161"/>
      <c r="C174" s="161"/>
      <c r="D174" s="163">
        <f>IFERROR(AkquiseTracking[[#This Row],[Wählversuche]]/AkquiseTracking[[#This Row],[Gespräche mit Empfang]],0)</f>
        <v>0</v>
      </c>
      <c r="E174" s="161"/>
      <c r="F174" s="163">
        <f>IFERROR(AkquiseTracking[[#This Row],[Gespräche mit Entscheider]]/AkquiseTracking[[#This Row],[Gespräche mit Empfang]],0)</f>
        <v>0</v>
      </c>
      <c r="G174" s="161"/>
      <c r="H174" s="163">
        <f>IFERROR(AkquiseTracking[[#This Row],[Termine vereinbart]]/AkquiseTracking[[#This Row],[Gespräche mit Empfang]],0)</f>
        <v>0</v>
      </c>
    </row>
    <row r="175" spans="1:8" ht="22.5" customHeight="1">
      <c r="A175" s="160"/>
      <c r="B175" s="161"/>
      <c r="C175" s="161"/>
      <c r="D175" s="163">
        <f>IFERROR(AkquiseTracking[[#This Row],[Wählversuche]]/AkquiseTracking[[#This Row],[Gespräche mit Empfang]],0)</f>
        <v>0</v>
      </c>
      <c r="E175" s="161"/>
      <c r="F175" s="163">
        <f>IFERROR(AkquiseTracking[[#This Row],[Gespräche mit Entscheider]]/AkquiseTracking[[#This Row],[Gespräche mit Empfang]],0)</f>
        <v>0</v>
      </c>
      <c r="G175" s="161"/>
      <c r="H175" s="163">
        <f>IFERROR(AkquiseTracking[[#This Row],[Termine vereinbart]]/AkquiseTracking[[#This Row],[Gespräche mit Empfang]],0)</f>
        <v>0</v>
      </c>
    </row>
    <row r="176" spans="1:8" ht="22.5" customHeight="1">
      <c r="A176" s="160"/>
      <c r="B176" s="161"/>
      <c r="C176" s="161"/>
      <c r="D176" s="163">
        <f>IFERROR(AkquiseTracking[[#This Row],[Wählversuche]]/AkquiseTracking[[#This Row],[Gespräche mit Empfang]],0)</f>
        <v>0</v>
      </c>
      <c r="E176" s="161"/>
      <c r="F176" s="163">
        <f>IFERROR(AkquiseTracking[[#This Row],[Gespräche mit Entscheider]]/AkquiseTracking[[#This Row],[Gespräche mit Empfang]],0)</f>
        <v>0</v>
      </c>
      <c r="G176" s="161"/>
      <c r="H176" s="163">
        <f>IFERROR(AkquiseTracking[[#This Row],[Termine vereinbart]]/AkquiseTracking[[#This Row],[Gespräche mit Empfang]],0)</f>
        <v>0</v>
      </c>
    </row>
    <row r="177" spans="1:8" ht="22.5" customHeight="1">
      <c r="A177" s="160"/>
      <c r="B177" s="161"/>
      <c r="C177" s="161"/>
      <c r="D177" s="163">
        <f>IFERROR(AkquiseTracking[[#This Row],[Wählversuche]]/AkquiseTracking[[#This Row],[Gespräche mit Empfang]],0)</f>
        <v>0</v>
      </c>
      <c r="E177" s="161"/>
      <c r="F177" s="163">
        <f>IFERROR(AkquiseTracking[[#This Row],[Gespräche mit Entscheider]]/AkquiseTracking[[#This Row],[Gespräche mit Empfang]],0)</f>
        <v>0</v>
      </c>
      <c r="G177" s="161"/>
      <c r="H177" s="163">
        <f>IFERROR(AkquiseTracking[[#This Row],[Termine vereinbart]]/AkquiseTracking[[#This Row],[Gespräche mit Empfang]],0)</f>
        <v>0</v>
      </c>
    </row>
    <row r="178" spans="1:8" ht="22.5" customHeight="1">
      <c r="A178" s="160"/>
      <c r="B178" s="161"/>
      <c r="C178" s="161"/>
      <c r="D178" s="163">
        <f>IFERROR(AkquiseTracking[[#This Row],[Wählversuche]]/AkquiseTracking[[#This Row],[Gespräche mit Empfang]],0)</f>
        <v>0</v>
      </c>
      <c r="E178" s="161"/>
      <c r="F178" s="163">
        <f>IFERROR(AkquiseTracking[[#This Row],[Gespräche mit Entscheider]]/AkquiseTracking[[#This Row],[Gespräche mit Empfang]],0)</f>
        <v>0</v>
      </c>
      <c r="G178" s="161"/>
      <c r="H178" s="163">
        <f>IFERROR(AkquiseTracking[[#This Row],[Termine vereinbart]]/AkquiseTracking[[#This Row],[Gespräche mit Empfang]],0)</f>
        <v>0</v>
      </c>
    </row>
    <row r="179" spans="1:8" ht="22.5" customHeight="1">
      <c r="A179" s="160"/>
      <c r="B179" s="161"/>
      <c r="C179" s="161"/>
      <c r="D179" s="163">
        <f>IFERROR(AkquiseTracking[[#This Row],[Wählversuche]]/AkquiseTracking[[#This Row],[Gespräche mit Empfang]],0)</f>
        <v>0</v>
      </c>
      <c r="E179" s="161"/>
      <c r="F179" s="163">
        <f>IFERROR(AkquiseTracking[[#This Row],[Gespräche mit Entscheider]]/AkquiseTracking[[#This Row],[Gespräche mit Empfang]],0)</f>
        <v>0</v>
      </c>
      <c r="G179" s="161"/>
      <c r="H179" s="163">
        <f>IFERROR(AkquiseTracking[[#This Row],[Termine vereinbart]]/AkquiseTracking[[#This Row],[Gespräche mit Empfang]],0)</f>
        <v>0</v>
      </c>
    </row>
    <row r="180" spans="1:8" ht="22.5" customHeight="1">
      <c r="A180" s="160"/>
      <c r="B180" s="161"/>
      <c r="C180" s="161"/>
      <c r="D180" s="163">
        <f>IFERROR(AkquiseTracking[[#This Row],[Wählversuche]]/AkquiseTracking[[#This Row],[Gespräche mit Empfang]],0)</f>
        <v>0</v>
      </c>
      <c r="E180" s="161"/>
      <c r="F180" s="163">
        <f>IFERROR(AkquiseTracking[[#This Row],[Gespräche mit Entscheider]]/AkquiseTracking[[#This Row],[Gespräche mit Empfang]],0)</f>
        <v>0</v>
      </c>
      <c r="G180" s="161"/>
      <c r="H180" s="163">
        <f>IFERROR(AkquiseTracking[[#This Row],[Termine vereinbart]]/AkquiseTracking[[#This Row],[Gespräche mit Empfang]],0)</f>
        <v>0</v>
      </c>
    </row>
    <row r="181" spans="1:8" ht="22.5" customHeight="1">
      <c r="A181" s="160"/>
      <c r="B181" s="161"/>
      <c r="C181" s="161"/>
      <c r="D181" s="163">
        <f>IFERROR(AkquiseTracking[[#This Row],[Wählversuche]]/AkquiseTracking[[#This Row],[Gespräche mit Empfang]],0)</f>
        <v>0</v>
      </c>
      <c r="E181" s="161"/>
      <c r="F181" s="163">
        <f>IFERROR(AkquiseTracking[[#This Row],[Gespräche mit Entscheider]]/AkquiseTracking[[#This Row],[Gespräche mit Empfang]],0)</f>
        <v>0</v>
      </c>
      <c r="G181" s="161"/>
      <c r="H181" s="163">
        <f>IFERROR(AkquiseTracking[[#This Row],[Termine vereinbart]]/AkquiseTracking[[#This Row],[Gespräche mit Empfang]],0)</f>
        <v>0</v>
      </c>
    </row>
    <row r="182" spans="1:8" ht="22.5" customHeight="1">
      <c r="A182" s="160"/>
      <c r="B182" s="161"/>
      <c r="C182" s="161"/>
      <c r="D182" s="163">
        <f>IFERROR(AkquiseTracking[[#This Row],[Wählversuche]]/AkquiseTracking[[#This Row],[Gespräche mit Empfang]],0)</f>
        <v>0</v>
      </c>
      <c r="E182" s="161"/>
      <c r="F182" s="163">
        <f>IFERROR(AkquiseTracking[[#This Row],[Gespräche mit Entscheider]]/AkquiseTracking[[#This Row],[Gespräche mit Empfang]],0)</f>
        <v>0</v>
      </c>
      <c r="G182" s="161"/>
      <c r="H182" s="163">
        <f>IFERROR(AkquiseTracking[[#This Row],[Termine vereinbart]]/AkquiseTracking[[#This Row],[Gespräche mit Empfang]],0)</f>
        <v>0</v>
      </c>
    </row>
    <row r="183" spans="1:8" ht="22.5" customHeight="1">
      <c r="A183" s="160"/>
      <c r="B183" s="161"/>
      <c r="C183" s="161"/>
      <c r="D183" s="163">
        <f>IFERROR(AkquiseTracking[[#This Row],[Wählversuche]]/AkquiseTracking[[#This Row],[Gespräche mit Empfang]],0)</f>
        <v>0</v>
      </c>
      <c r="E183" s="161"/>
      <c r="F183" s="163">
        <f>IFERROR(AkquiseTracking[[#This Row],[Gespräche mit Entscheider]]/AkquiseTracking[[#This Row],[Gespräche mit Empfang]],0)</f>
        <v>0</v>
      </c>
      <c r="G183" s="161"/>
      <c r="H183" s="163">
        <f>IFERROR(AkquiseTracking[[#This Row],[Termine vereinbart]]/AkquiseTracking[[#This Row],[Gespräche mit Empfang]],0)</f>
        <v>0</v>
      </c>
    </row>
    <row r="184" spans="1:8" ht="22.5" customHeight="1">
      <c r="A184" s="160"/>
      <c r="B184" s="161"/>
      <c r="C184" s="161"/>
      <c r="D184" s="163">
        <f>IFERROR(AkquiseTracking[[#This Row],[Wählversuche]]/AkquiseTracking[[#This Row],[Gespräche mit Empfang]],0)</f>
        <v>0</v>
      </c>
      <c r="E184" s="161"/>
      <c r="F184" s="163">
        <f>IFERROR(AkquiseTracking[[#This Row],[Gespräche mit Entscheider]]/AkquiseTracking[[#This Row],[Gespräche mit Empfang]],0)</f>
        <v>0</v>
      </c>
      <c r="G184" s="161"/>
      <c r="H184" s="163">
        <f>IFERROR(AkquiseTracking[[#This Row],[Termine vereinbart]]/AkquiseTracking[[#This Row],[Gespräche mit Empfang]],0)</f>
        <v>0</v>
      </c>
    </row>
    <row r="185" spans="1:8" ht="22.5" customHeight="1">
      <c r="A185" s="160"/>
      <c r="B185" s="161"/>
      <c r="C185" s="161"/>
      <c r="D185" s="163">
        <f>IFERROR(AkquiseTracking[[#This Row],[Wählversuche]]/AkquiseTracking[[#This Row],[Gespräche mit Empfang]],0)</f>
        <v>0</v>
      </c>
      <c r="E185" s="161"/>
      <c r="F185" s="163">
        <f>IFERROR(AkquiseTracking[[#This Row],[Gespräche mit Entscheider]]/AkquiseTracking[[#This Row],[Gespräche mit Empfang]],0)</f>
        <v>0</v>
      </c>
      <c r="G185" s="161"/>
      <c r="H185" s="163">
        <f>IFERROR(AkquiseTracking[[#This Row],[Termine vereinbart]]/AkquiseTracking[[#This Row],[Gespräche mit Empfang]],0)</f>
        <v>0</v>
      </c>
    </row>
    <row r="186" spans="1:8" ht="22.5" customHeight="1">
      <c r="A186" s="160"/>
      <c r="B186" s="161"/>
      <c r="C186" s="161"/>
      <c r="D186" s="163">
        <f>IFERROR(AkquiseTracking[[#This Row],[Wählversuche]]/AkquiseTracking[[#This Row],[Gespräche mit Empfang]],0)</f>
        <v>0</v>
      </c>
      <c r="E186" s="161"/>
      <c r="F186" s="163">
        <f>IFERROR(AkquiseTracking[[#This Row],[Gespräche mit Entscheider]]/AkquiseTracking[[#This Row],[Gespräche mit Empfang]],0)</f>
        <v>0</v>
      </c>
      <c r="G186" s="161"/>
      <c r="H186" s="163">
        <f>IFERROR(AkquiseTracking[[#This Row],[Termine vereinbart]]/AkquiseTracking[[#This Row],[Gespräche mit Empfang]],0)</f>
        <v>0</v>
      </c>
    </row>
    <row r="187" spans="1:8" ht="22.5" customHeight="1">
      <c r="A187" s="160"/>
      <c r="B187" s="161"/>
      <c r="C187" s="161"/>
      <c r="D187" s="163">
        <f>IFERROR(AkquiseTracking[[#This Row],[Wählversuche]]/AkquiseTracking[[#This Row],[Gespräche mit Empfang]],0)</f>
        <v>0</v>
      </c>
      <c r="E187" s="161"/>
      <c r="F187" s="163">
        <f>IFERROR(AkquiseTracking[[#This Row],[Gespräche mit Entscheider]]/AkquiseTracking[[#This Row],[Gespräche mit Empfang]],0)</f>
        <v>0</v>
      </c>
      <c r="G187" s="161"/>
      <c r="H187" s="163">
        <f>IFERROR(AkquiseTracking[[#This Row],[Termine vereinbart]]/AkquiseTracking[[#This Row],[Gespräche mit Empfang]],0)</f>
        <v>0</v>
      </c>
    </row>
    <row r="188" spans="1:8" ht="22.5" customHeight="1">
      <c r="A188" s="160"/>
      <c r="B188" s="161"/>
      <c r="C188" s="161"/>
      <c r="D188" s="163">
        <f>IFERROR(AkquiseTracking[[#This Row],[Wählversuche]]/AkquiseTracking[[#This Row],[Gespräche mit Empfang]],0)</f>
        <v>0</v>
      </c>
      <c r="E188" s="161"/>
      <c r="F188" s="163">
        <f>IFERROR(AkquiseTracking[[#This Row],[Gespräche mit Entscheider]]/AkquiseTracking[[#This Row],[Gespräche mit Empfang]],0)</f>
        <v>0</v>
      </c>
      <c r="G188" s="161"/>
      <c r="H188" s="163">
        <f>IFERROR(AkquiseTracking[[#This Row],[Termine vereinbart]]/AkquiseTracking[[#This Row],[Gespräche mit Empfang]],0)</f>
        <v>0</v>
      </c>
    </row>
    <row r="189" spans="1:8" ht="22.5" customHeight="1">
      <c r="A189" s="160"/>
      <c r="B189" s="161"/>
      <c r="C189" s="161"/>
      <c r="D189" s="163">
        <f>IFERROR(AkquiseTracking[[#This Row],[Wählversuche]]/AkquiseTracking[[#This Row],[Gespräche mit Empfang]],0)</f>
        <v>0</v>
      </c>
      <c r="E189" s="161"/>
      <c r="F189" s="163">
        <f>IFERROR(AkquiseTracking[[#This Row],[Gespräche mit Entscheider]]/AkquiseTracking[[#This Row],[Gespräche mit Empfang]],0)</f>
        <v>0</v>
      </c>
      <c r="G189" s="161"/>
      <c r="H189" s="163">
        <f>IFERROR(AkquiseTracking[[#This Row],[Termine vereinbart]]/AkquiseTracking[[#This Row],[Gespräche mit Empfang]],0)</f>
        <v>0</v>
      </c>
    </row>
    <row r="190" spans="1:8" ht="22.5" customHeight="1">
      <c r="A190" s="160"/>
      <c r="B190" s="161"/>
      <c r="C190" s="161"/>
      <c r="D190" s="163">
        <f>IFERROR(AkquiseTracking[[#This Row],[Wählversuche]]/AkquiseTracking[[#This Row],[Gespräche mit Empfang]],0)</f>
        <v>0</v>
      </c>
      <c r="E190" s="161"/>
      <c r="F190" s="163">
        <f>IFERROR(AkquiseTracking[[#This Row],[Gespräche mit Entscheider]]/AkquiseTracking[[#This Row],[Gespräche mit Empfang]],0)</f>
        <v>0</v>
      </c>
      <c r="G190" s="161"/>
      <c r="H190" s="163">
        <f>IFERROR(AkquiseTracking[[#This Row],[Termine vereinbart]]/AkquiseTracking[[#This Row],[Gespräche mit Empfang]],0)</f>
        <v>0</v>
      </c>
    </row>
    <row r="191" spans="1:8" ht="22.5" customHeight="1">
      <c r="A191" s="160"/>
      <c r="B191" s="161"/>
      <c r="C191" s="161"/>
      <c r="D191" s="163">
        <f>IFERROR(AkquiseTracking[[#This Row],[Wählversuche]]/AkquiseTracking[[#This Row],[Gespräche mit Empfang]],0)</f>
        <v>0</v>
      </c>
      <c r="E191" s="161"/>
      <c r="F191" s="163">
        <f>IFERROR(AkquiseTracking[[#This Row],[Gespräche mit Entscheider]]/AkquiseTracking[[#This Row],[Gespräche mit Empfang]],0)</f>
        <v>0</v>
      </c>
      <c r="G191" s="161"/>
      <c r="H191" s="163">
        <f>IFERROR(AkquiseTracking[[#This Row],[Termine vereinbart]]/AkquiseTracking[[#This Row],[Gespräche mit Empfang]],0)</f>
        <v>0</v>
      </c>
    </row>
    <row r="192" spans="1:8" ht="22.5" customHeight="1">
      <c r="A192" s="160"/>
      <c r="B192" s="161"/>
      <c r="C192" s="161"/>
      <c r="D192" s="163">
        <f>IFERROR(AkquiseTracking[[#This Row],[Wählversuche]]/AkquiseTracking[[#This Row],[Gespräche mit Empfang]],0)</f>
        <v>0</v>
      </c>
      <c r="E192" s="161"/>
      <c r="F192" s="163">
        <f>IFERROR(AkquiseTracking[[#This Row],[Gespräche mit Entscheider]]/AkquiseTracking[[#This Row],[Gespräche mit Empfang]],0)</f>
        <v>0</v>
      </c>
      <c r="G192" s="161"/>
      <c r="H192" s="163">
        <f>IFERROR(AkquiseTracking[[#This Row],[Termine vereinbart]]/AkquiseTracking[[#This Row],[Gespräche mit Empfang]],0)</f>
        <v>0</v>
      </c>
    </row>
    <row r="193" spans="1:8" ht="22.5" customHeight="1">
      <c r="A193" s="160"/>
      <c r="B193" s="161"/>
      <c r="C193" s="161"/>
      <c r="D193" s="163">
        <f>IFERROR(AkquiseTracking[[#This Row],[Wählversuche]]/AkquiseTracking[[#This Row],[Gespräche mit Empfang]],0)</f>
        <v>0</v>
      </c>
      <c r="E193" s="161"/>
      <c r="F193" s="163">
        <f>IFERROR(AkquiseTracking[[#This Row],[Gespräche mit Entscheider]]/AkquiseTracking[[#This Row],[Gespräche mit Empfang]],0)</f>
        <v>0</v>
      </c>
      <c r="G193" s="161"/>
      <c r="H193" s="163">
        <f>IFERROR(AkquiseTracking[[#This Row],[Termine vereinbart]]/AkquiseTracking[[#This Row],[Gespräche mit Empfang]],0)</f>
        <v>0</v>
      </c>
    </row>
    <row r="194" spans="1:8" ht="22.5" customHeight="1">
      <c r="A194" s="160"/>
      <c r="B194" s="161"/>
      <c r="C194" s="161"/>
      <c r="D194" s="163">
        <f>IFERROR(AkquiseTracking[[#This Row],[Wählversuche]]/AkquiseTracking[[#This Row],[Gespräche mit Empfang]],0)</f>
        <v>0</v>
      </c>
      <c r="E194" s="161"/>
      <c r="F194" s="163">
        <f>IFERROR(AkquiseTracking[[#This Row],[Gespräche mit Entscheider]]/AkquiseTracking[[#This Row],[Gespräche mit Empfang]],0)</f>
        <v>0</v>
      </c>
      <c r="G194" s="161"/>
      <c r="H194" s="163">
        <f>IFERROR(AkquiseTracking[[#This Row],[Termine vereinbart]]/AkquiseTracking[[#This Row],[Gespräche mit Empfang]],0)</f>
        <v>0</v>
      </c>
    </row>
    <row r="195" spans="1:8" ht="22.5" customHeight="1">
      <c r="A195" s="160"/>
      <c r="B195" s="161"/>
      <c r="C195" s="161"/>
      <c r="D195" s="163">
        <f>IFERROR(AkquiseTracking[[#This Row],[Wählversuche]]/AkquiseTracking[[#This Row],[Gespräche mit Empfang]],0)</f>
        <v>0</v>
      </c>
      <c r="E195" s="161"/>
      <c r="F195" s="163">
        <f>IFERROR(AkquiseTracking[[#This Row],[Gespräche mit Entscheider]]/AkquiseTracking[[#This Row],[Gespräche mit Empfang]],0)</f>
        <v>0</v>
      </c>
      <c r="G195" s="161"/>
      <c r="H195" s="163">
        <f>IFERROR(AkquiseTracking[[#This Row],[Termine vereinbart]]/AkquiseTracking[[#This Row],[Gespräche mit Empfang]],0)</f>
        <v>0</v>
      </c>
    </row>
    <row r="196" spans="1:8" ht="22.5" customHeight="1">
      <c r="A196" s="160"/>
      <c r="B196" s="161"/>
      <c r="C196" s="161"/>
      <c r="D196" s="163">
        <f>IFERROR(AkquiseTracking[[#This Row],[Wählversuche]]/AkquiseTracking[[#This Row],[Gespräche mit Empfang]],0)</f>
        <v>0</v>
      </c>
      <c r="E196" s="161"/>
      <c r="F196" s="163">
        <f>IFERROR(AkquiseTracking[[#This Row],[Gespräche mit Entscheider]]/AkquiseTracking[[#This Row],[Gespräche mit Empfang]],0)</f>
        <v>0</v>
      </c>
      <c r="G196" s="161"/>
      <c r="H196" s="163">
        <f>IFERROR(AkquiseTracking[[#This Row],[Termine vereinbart]]/AkquiseTracking[[#This Row],[Gespräche mit Empfang]],0)</f>
        <v>0</v>
      </c>
    </row>
    <row r="197" spans="1:8" ht="22.5" customHeight="1">
      <c r="A197" s="160"/>
      <c r="B197" s="161"/>
      <c r="C197" s="161"/>
      <c r="D197" s="163">
        <f>IFERROR(AkquiseTracking[[#This Row],[Wählversuche]]/AkquiseTracking[[#This Row],[Gespräche mit Empfang]],0)</f>
        <v>0</v>
      </c>
      <c r="E197" s="161"/>
      <c r="F197" s="163">
        <f>IFERROR(AkquiseTracking[[#This Row],[Gespräche mit Entscheider]]/AkquiseTracking[[#This Row],[Gespräche mit Empfang]],0)</f>
        <v>0</v>
      </c>
      <c r="G197" s="161"/>
      <c r="H197" s="163">
        <f>IFERROR(AkquiseTracking[[#This Row],[Termine vereinbart]]/AkquiseTracking[[#This Row],[Gespräche mit Empfang]],0)</f>
        <v>0</v>
      </c>
    </row>
    <row r="198" spans="1:8" ht="22.5" customHeight="1">
      <c r="A198" s="160"/>
      <c r="B198" s="161"/>
      <c r="C198" s="161"/>
      <c r="D198" s="163">
        <f>IFERROR(AkquiseTracking[[#This Row],[Wählversuche]]/AkquiseTracking[[#This Row],[Gespräche mit Empfang]],0)</f>
        <v>0</v>
      </c>
      <c r="E198" s="161"/>
      <c r="F198" s="163">
        <f>IFERROR(AkquiseTracking[[#This Row],[Gespräche mit Entscheider]]/AkquiseTracking[[#This Row],[Gespräche mit Empfang]],0)</f>
        <v>0</v>
      </c>
      <c r="G198" s="161"/>
      <c r="H198" s="163">
        <f>IFERROR(AkquiseTracking[[#This Row],[Termine vereinbart]]/AkquiseTracking[[#This Row],[Gespräche mit Empfang]],0)</f>
        <v>0</v>
      </c>
    </row>
    <row r="199" spans="1:8" ht="22.5" customHeight="1">
      <c r="A199" s="160"/>
      <c r="B199" s="161"/>
      <c r="C199" s="161"/>
      <c r="D199" s="163">
        <f>IFERROR(AkquiseTracking[[#This Row],[Wählversuche]]/AkquiseTracking[[#This Row],[Gespräche mit Empfang]],0)</f>
        <v>0</v>
      </c>
      <c r="E199" s="161"/>
      <c r="F199" s="163">
        <f>IFERROR(AkquiseTracking[[#This Row],[Gespräche mit Entscheider]]/AkquiseTracking[[#This Row],[Gespräche mit Empfang]],0)</f>
        <v>0</v>
      </c>
      <c r="G199" s="161"/>
      <c r="H199" s="163">
        <f>IFERROR(AkquiseTracking[[#This Row],[Termine vereinbart]]/AkquiseTracking[[#This Row],[Gespräche mit Empfang]],0)</f>
        <v>0</v>
      </c>
    </row>
    <row r="200" spans="1:8" ht="22.5" customHeight="1">
      <c r="A200" s="160"/>
      <c r="B200" s="161"/>
      <c r="C200" s="161"/>
      <c r="D200" s="163">
        <f>IFERROR(AkquiseTracking[[#This Row],[Wählversuche]]/AkquiseTracking[[#This Row],[Gespräche mit Empfang]],0)</f>
        <v>0</v>
      </c>
      <c r="E200" s="161"/>
      <c r="F200" s="163">
        <f>IFERROR(AkquiseTracking[[#This Row],[Gespräche mit Entscheider]]/AkquiseTracking[[#This Row],[Gespräche mit Empfang]],0)</f>
        <v>0</v>
      </c>
      <c r="G200" s="161"/>
      <c r="H200" s="163">
        <f>IFERROR(AkquiseTracking[[#This Row],[Termine vereinbart]]/AkquiseTracking[[#This Row],[Gespräche mit Empfang]],0)</f>
        <v>0</v>
      </c>
    </row>
    <row r="201" spans="1:8" ht="22.5" customHeight="1">
      <c r="A201" s="160"/>
      <c r="B201" s="161"/>
      <c r="C201" s="161"/>
      <c r="D201" s="163">
        <f>IFERROR(AkquiseTracking[[#This Row],[Wählversuche]]/AkquiseTracking[[#This Row],[Gespräche mit Empfang]],0)</f>
        <v>0</v>
      </c>
      <c r="E201" s="161"/>
      <c r="F201" s="163">
        <f>IFERROR(AkquiseTracking[[#This Row],[Gespräche mit Entscheider]]/AkquiseTracking[[#This Row],[Gespräche mit Empfang]],0)</f>
        <v>0</v>
      </c>
      <c r="G201" s="161"/>
      <c r="H201" s="163">
        <f>IFERROR(AkquiseTracking[[#This Row],[Termine vereinbart]]/AkquiseTracking[[#This Row],[Gespräche mit Empfang]],0)</f>
        <v>0</v>
      </c>
    </row>
    <row r="202" spans="1:8" ht="22.5" customHeight="1">
      <c r="A202" s="160"/>
      <c r="B202" s="161"/>
      <c r="C202" s="161"/>
      <c r="D202" s="163">
        <f>IFERROR(AkquiseTracking[[#This Row],[Wählversuche]]/AkquiseTracking[[#This Row],[Gespräche mit Empfang]],0)</f>
        <v>0</v>
      </c>
      <c r="E202" s="161"/>
      <c r="F202" s="163">
        <f>IFERROR(AkquiseTracking[[#This Row],[Gespräche mit Entscheider]]/AkquiseTracking[[#This Row],[Gespräche mit Empfang]],0)</f>
        <v>0</v>
      </c>
      <c r="G202" s="161"/>
      <c r="H202" s="163">
        <f>IFERROR(AkquiseTracking[[#This Row],[Termine vereinbart]]/AkquiseTracking[[#This Row],[Gespräche mit Empfang]],0)</f>
        <v>0</v>
      </c>
    </row>
    <row r="203" spans="1:8" ht="22.5" customHeight="1">
      <c r="A203" s="160"/>
      <c r="B203" s="161"/>
      <c r="C203" s="161"/>
      <c r="D203" s="163">
        <f>IFERROR(AkquiseTracking[[#This Row],[Wählversuche]]/AkquiseTracking[[#This Row],[Gespräche mit Empfang]],0)</f>
        <v>0</v>
      </c>
      <c r="E203" s="161"/>
      <c r="F203" s="163">
        <f>IFERROR(AkquiseTracking[[#This Row],[Gespräche mit Entscheider]]/AkquiseTracking[[#This Row],[Gespräche mit Empfang]],0)</f>
        <v>0</v>
      </c>
      <c r="G203" s="161"/>
      <c r="H203" s="163">
        <f>IFERROR(AkquiseTracking[[#This Row],[Termine vereinbart]]/AkquiseTracking[[#This Row],[Gespräche mit Empfang]],0)</f>
        <v>0</v>
      </c>
    </row>
    <row r="204" spans="1:8" ht="22.5" customHeight="1">
      <c r="A204" s="160"/>
      <c r="B204" s="161"/>
      <c r="C204" s="161"/>
      <c r="D204" s="163">
        <f>IFERROR(AkquiseTracking[[#This Row],[Wählversuche]]/AkquiseTracking[[#This Row],[Gespräche mit Empfang]],0)</f>
        <v>0</v>
      </c>
      <c r="E204" s="161"/>
      <c r="F204" s="163">
        <f>IFERROR(AkquiseTracking[[#This Row],[Gespräche mit Entscheider]]/AkquiseTracking[[#This Row],[Gespräche mit Empfang]],0)</f>
        <v>0</v>
      </c>
      <c r="G204" s="161"/>
      <c r="H204" s="163">
        <f>IFERROR(AkquiseTracking[[#This Row],[Termine vereinbart]]/AkquiseTracking[[#This Row],[Gespräche mit Empfang]],0)</f>
        <v>0</v>
      </c>
    </row>
    <row r="205" spans="1:8" ht="22.5" customHeight="1">
      <c r="A205" s="160"/>
      <c r="B205" s="161"/>
      <c r="C205" s="161"/>
      <c r="D205" s="163">
        <f>IFERROR(AkquiseTracking[[#This Row],[Wählversuche]]/AkquiseTracking[[#This Row],[Gespräche mit Empfang]],0)</f>
        <v>0</v>
      </c>
      <c r="E205" s="161"/>
      <c r="F205" s="163">
        <f>IFERROR(AkquiseTracking[[#This Row],[Gespräche mit Entscheider]]/AkquiseTracking[[#This Row],[Gespräche mit Empfang]],0)</f>
        <v>0</v>
      </c>
      <c r="G205" s="161"/>
      <c r="H205" s="163">
        <f>IFERROR(AkquiseTracking[[#This Row],[Termine vereinbart]]/AkquiseTracking[[#This Row],[Gespräche mit Empfang]],0)</f>
        <v>0</v>
      </c>
    </row>
    <row r="206" spans="1:8" ht="22.5" customHeight="1">
      <c r="A206" s="160"/>
      <c r="B206" s="161"/>
      <c r="C206" s="161"/>
      <c r="D206" s="163">
        <f>IFERROR(AkquiseTracking[[#This Row],[Wählversuche]]/AkquiseTracking[[#This Row],[Gespräche mit Empfang]],0)</f>
        <v>0</v>
      </c>
      <c r="E206" s="161"/>
      <c r="F206" s="163">
        <f>IFERROR(AkquiseTracking[[#This Row],[Gespräche mit Entscheider]]/AkquiseTracking[[#This Row],[Gespräche mit Empfang]],0)</f>
        <v>0</v>
      </c>
      <c r="G206" s="161"/>
      <c r="H206" s="163">
        <f>IFERROR(AkquiseTracking[[#This Row],[Termine vereinbart]]/AkquiseTracking[[#This Row],[Gespräche mit Empfang]],0)</f>
        <v>0</v>
      </c>
    </row>
    <row r="207" spans="1:8" ht="22.5" customHeight="1">
      <c r="A207" s="160"/>
      <c r="B207" s="161"/>
      <c r="C207" s="161"/>
      <c r="D207" s="163">
        <f>IFERROR(AkquiseTracking[[#This Row],[Wählversuche]]/AkquiseTracking[[#This Row],[Gespräche mit Empfang]],0)</f>
        <v>0</v>
      </c>
      <c r="E207" s="161"/>
      <c r="F207" s="163">
        <f>IFERROR(AkquiseTracking[[#This Row],[Gespräche mit Entscheider]]/AkquiseTracking[[#This Row],[Gespräche mit Empfang]],0)</f>
        <v>0</v>
      </c>
      <c r="G207" s="161"/>
      <c r="H207" s="163">
        <f>IFERROR(AkquiseTracking[[#This Row],[Termine vereinbart]]/AkquiseTracking[[#This Row],[Gespräche mit Empfang]],0)</f>
        <v>0</v>
      </c>
    </row>
    <row r="208" spans="1:8" ht="22.5" customHeight="1">
      <c r="A208" s="160"/>
      <c r="B208" s="161"/>
      <c r="C208" s="161"/>
      <c r="D208" s="163">
        <f>IFERROR(AkquiseTracking[[#This Row],[Wählversuche]]/AkquiseTracking[[#This Row],[Gespräche mit Empfang]],0)</f>
        <v>0</v>
      </c>
      <c r="E208" s="161"/>
      <c r="F208" s="163">
        <f>IFERROR(AkquiseTracking[[#This Row],[Gespräche mit Entscheider]]/AkquiseTracking[[#This Row],[Gespräche mit Empfang]],0)</f>
        <v>0</v>
      </c>
      <c r="G208" s="161"/>
      <c r="H208" s="163">
        <f>IFERROR(AkquiseTracking[[#This Row],[Termine vereinbart]]/AkquiseTracking[[#This Row],[Gespräche mit Empfang]],0)</f>
        <v>0</v>
      </c>
    </row>
    <row r="209" spans="1:8" ht="22.5" customHeight="1">
      <c r="A209" s="160"/>
      <c r="B209" s="161"/>
      <c r="C209" s="161"/>
      <c r="D209" s="163">
        <f>IFERROR(AkquiseTracking[[#This Row],[Wählversuche]]/AkquiseTracking[[#This Row],[Gespräche mit Empfang]],0)</f>
        <v>0</v>
      </c>
      <c r="E209" s="161"/>
      <c r="F209" s="163">
        <f>IFERROR(AkquiseTracking[[#This Row],[Gespräche mit Entscheider]]/AkquiseTracking[[#This Row],[Gespräche mit Empfang]],0)</f>
        <v>0</v>
      </c>
      <c r="G209" s="161"/>
      <c r="H209" s="163">
        <f>IFERROR(AkquiseTracking[[#This Row],[Termine vereinbart]]/AkquiseTracking[[#This Row],[Gespräche mit Empfang]],0)</f>
        <v>0</v>
      </c>
    </row>
    <row r="210" spans="1:8" ht="22.5" customHeight="1">
      <c r="A210" s="160"/>
      <c r="B210" s="161"/>
      <c r="C210" s="161"/>
      <c r="D210" s="163">
        <f>IFERROR(AkquiseTracking[[#This Row],[Wählversuche]]/AkquiseTracking[[#This Row],[Gespräche mit Empfang]],0)</f>
        <v>0</v>
      </c>
      <c r="E210" s="161"/>
      <c r="F210" s="163">
        <f>IFERROR(AkquiseTracking[[#This Row],[Gespräche mit Entscheider]]/AkquiseTracking[[#This Row],[Gespräche mit Empfang]],0)</f>
        <v>0</v>
      </c>
      <c r="G210" s="161"/>
      <c r="H210" s="163">
        <f>IFERROR(AkquiseTracking[[#This Row],[Termine vereinbart]]/AkquiseTracking[[#This Row],[Gespräche mit Empfang]],0)</f>
        <v>0</v>
      </c>
    </row>
    <row r="211" spans="1:8" ht="22.5" customHeight="1">
      <c r="A211" s="160"/>
      <c r="B211" s="161"/>
      <c r="C211" s="161"/>
      <c r="D211" s="163">
        <f>IFERROR(AkquiseTracking[[#This Row],[Wählversuche]]/AkquiseTracking[[#This Row],[Gespräche mit Empfang]],0)</f>
        <v>0</v>
      </c>
      <c r="E211" s="161"/>
      <c r="F211" s="163">
        <f>IFERROR(AkquiseTracking[[#This Row],[Gespräche mit Entscheider]]/AkquiseTracking[[#This Row],[Gespräche mit Empfang]],0)</f>
        <v>0</v>
      </c>
      <c r="G211" s="161"/>
      <c r="H211" s="163">
        <f>IFERROR(AkquiseTracking[[#This Row],[Termine vereinbart]]/AkquiseTracking[[#This Row],[Gespräche mit Empfang]],0)</f>
        <v>0</v>
      </c>
    </row>
    <row r="212" spans="1:8" ht="22.5" customHeight="1">
      <c r="A212" s="160"/>
      <c r="B212" s="161"/>
      <c r="C212" s="161"/>
      <c r="D212" s="163">
        <f>IFERROR(AkquiseTracking[[#This Row],[Wählversuche]]/AkquiseTracking[[#This Row],[Gespräche mit Empfang]],0)</f>
        <v>0</v>
      </c>
      <c r="E212" s="161"/>
      <c r="F212" s="163">
        <f>IFERROR(AkquiseTracking[[#This Row],[Gespräche mit Entscheider]]/AkquiseTracking[[#This Row],[Gespräche mit Empfang]],0)</f>
        <v>0</v>
      </c>
      <c r="G212" s="161"/>
      <c r="H212" s="163">
        <f>IFERROR(AkquiseTracking[[#This Row],[Termine vereinbart]]/AkquiseTracking[[#This Row],[Gespräche mit Empfang]],0)</f>
        <v>0</v>
      </c>
    </row>
    <row r="213" spans="1:8" ht="22.5" customHeight="1">
      <c r="A213" s="160"/>
      <c r="B213" s="161"/>
      <c r="C213" s="161"/>
      <c r="D213" s="163">
        <f>IFERROR(AkquiseTracking[[#This Row],[Wählversuche]]/AkquiseTracking[[#This Row],[Gespräche mit Empfang]],0)</f>
        <v>0</v>
      </c>
      <c r="E213" s="161"/>
      <c r="F213" s="163">
        <f>IFERROR(AkquiseTracking[[#This Row],[Gespräche mit Entscheider]]/AkquiseTracking[[#This Row],[Gespräche mit Empfang]],0)</f>
        <v>0</v>
      </c>
      <c r="G213" s="161"/>
      <c r="H213" s="163">
        <f>IFERROR(AkquiseTracking[[#This Row],[Termine vereinbart]]/AkquiseTracking[[#This Row],[Gespräche mit Empfang]],0)</f>
        <v>0</v>
      </c>
    </row>
    <row r="214" spans="1:8" ht="22.5" customHeight="1">
      <c r="A214" s="160"/>
      <c r="B214" s="161"/>
      <c r="C214" s="161"/>
      <c r="D214" s="163">
        <f>IFERROR(AkquiseTracking[[#This Row],[Wählversuche]]/AkquiseTracking[[#This Row],[Gespräche mit Empfang]],0)</f>
        <v>0</v>
      </c>
      <c r="E214" s="161"/>
      <c r="F214" s="163">
        <f>IFERROR(AkquiseTracking[[#This Row],[Gespräche mit Entscheider]]/AkquiseTracking[[#This Row],[Gespräche mit Empfang]],0)</f>
        <v>0</v>
      </c>
      <c r="G214" s="161"/>
      <c r="H214" s="163">
        <f>IFERROR(AkquiseTracking[[#This Row],[Termine vereinbart]]/AkquiseTracking[[#This Row],[Gespräche mit Empfang]],0)</f>
        <v>0</v>
      </c>
    </row>
    <row r="215" spans="1:8" ht="22.5" customHeight="1">
      <c r="A215" s="160"/>
      <c r="B215" s="161"/>
      <c r="C215" s="161"/>
      <c r="D215" s="163">
        <f>IFERROR(AkquiseTracking[[#This Row],[Wählversuche]]/AkquiseTracking[[#This Row],[Gespräche mit Empfang]],0)</f>
        <v>0</v>
      </c>
      <c r="E215" s="161"/>
      <c r="F215" s="163">
        <f>IFERROR(AkquiseTracking[[#This Row],[Gespräche mit Entscheider]]/AkquiseTracking[[#This Row],[Gespräche mit Empfang]],0)</f>
        <v>0</v>
      </c>
      <c r="G215" s="161"/>
      <c r="H215" s="163">
        <f>IFERROR(AkquiseTracking[[#This Row],[Termine vereinbart]]/AkquiseTracking[[#This Row],[Gespräche mit Empfang]],0)</f>
        <v>0</v>
      </c>
    </row>
    <row r="216" spans="1:8" ht="22.5" customHeight="1">
      <c r="A216" s="160"/>
      <c r="B216" s="161"/>
      <c r="C216" s="161"/>
      <c r="D216" s="163">
        <f>IFERROR(AkquiseTracking[[#This Row],[Wählversuche]]/AkquiseTracking[[#This Row],[Gespräche mit Empfang]],0)</f>
        <v>0</v>
      </c>
      <c r="E216" s="161"/>
      <c r="F216" s="163">
        <f>IFERROR(AkquiseTracking[[#This Row],[Gespräche mit Entscheider]]/AkquiseTracking[[#This Row],[Gespräche mit Empfang]],0)</f>
        <v>0</v>
      </c>
      <c r="G216" s="161"/>
      <c r="H216" s="163">
        <f>IFERROR(AkquiseTracking[[#This Row],[Termine vereinbart]]/AkquiseTracking[[#This Row],[Gespräche mit Empfang]],0)</f>
        <v>0</v>
      </c>
    </row>
    <row r="217" spans="1:8" ht="22.5" customHeight="1">
      <c r="A217" s="160"/>
      <c r="B217" s="161"/>
      <c r="C217" s="161"/>
      <c r="D217" s="163">
        <f>IFERROR(AkquiseTracking[[#This Row],[Wählversuche]]/AkquiseTracking[[#This Row],[Gespräche mit Empfang]],0)</f>
        <v>0</v>
      </c>
      <c r="E217" s="161"/>
      <c r="F217" s="163">
        <f>IFERROR(AkquiseTracking[[#This Row],[Gespräche mit Entscheider]]/AkquiseTracking[[#This Row],[Gespräche mit Empfang]],0)</f>
        <v>0</v>
      </c>
      <c r="G217" s="161"/>
      <c r="H217" s="163">
        <f>IFERROR(AkquiseTracking[[#This Row],[Termine vereinbart]]/AkquiseTracking[[#This Row],[Gespräche mit Empfang]],0)</f>
        <v>0</v>
      </c>
    </row>
    <row r="218" spans="1:8" ht="22.5" customHeight="1">
      <c r="A218" s="160"/>
      <c r="B218" s="161"/>
      <c r="C218" s="161"/>
      <c r="D218" s="163">
        <f>IFERROR(AkquiseTracking[[#This Row],[Wählversuche]]/AkquiseTracking[[#This Row],[Gespräche mit Empfang]],0)</f>
        <v>0</v>
      </c>
      <c r="E218" s="161"/>
      <c r="F218" s="163">
        <f>IFERROR(AkquiseTracking[[#This Row],[Gespräche mit Entscheider]]/AkquiseTracking[[#This Row],[Gespräche mit Empfang]],0)</f>
        <v>0</v>
      </c>
      <c r="G218" s="161"/>
      <c r="H218" s="163">
        <f>IFERROR(AkquiseTracking[[#This Row],[Termine vereinbart]]/AkquiseTracking[[#This Row],[Gespräche mit Empfang]],0)</f>
        <v>0</v>
      </c>
    </row>
    <row r="219" spans="1:8" ht="22.5" customHeight="1">
      <c r="A219" s="160"/>
      <c r="B219" s="161"/>
      <c r="C219" s="161"/>
      <c r="D219" s="163">
        <f>IFERROR(AkquiseTracking[[#This Row],[Wählversuche]]/AkquiseTracking[[#This Row],[Gespräche mit Empfang]],0)</f>
        <v>0</v>
      </c>
      <c r="E219" s="161"/>
      <c r="F219" s="163">
        <f>IFERROR(AkquiseTracking[[#This Row],[Gespräche mit Entscheider]]/AkquiseTracking[[#This Row],[Gespräche mit Empfang]],0)</f>
        <v>0</v>
      </c>
      <c r="G219" s="161"/>
      <c r="H219" s="163">
        <f>IFERROR(AkquiseTracking[[#This Row],[Termine vereinbart]]/AkquiseTracking[[#This Row],[Gespräche mit Empfang]],0)</f>
        <v>0</v>
      </c>
    </row>
    <row r="220" spans="1:8" ht="22.5" customHeight="1">
      <c r="A220" s="160"/>
      <c r="B220" s="161"/>
      <c r="C220" s="161"/>
      <c r="D220" s="163">
        <f>IFERROR(AkquiseTracking[[#This Row],[Wählversuche]]/AkquiseTracking[[#This Row],[Gespräche mit Empfang]],0)</f>
        <v>0</v>
      </c>
      <c r="E220" s="161"/>
      <c r="F220" s="163">
        <f>IFERROR(AkquiseTracking[[#This Row],[Gespräche mit Entscheider]]/AkquiseTracking[[#This Row],[Gespräche mit Empfang]],0)</f>
        <v>0</v>
      </c>
      <c r="G220" s="161"/>
      <c r="H220" s="163">
        <f>IFERROR(AkquiseTracking[[#This Row],[Termine vereinbart]]/AkquiseTracking[[#This Row],[Gespräche mit Empfang]],0)</f>
        <v>0</v>
      </c>
    </row>
    <row r="221" spans="1:8" ht="22.5" customHeight="1">
      <c r="A221" s="160"/>
      <c r="B221" s="161"/>
      <c r="C221" s="161"/>
      <c r="D221" s="163">
        <f>IFERROR(AkquiseTracking[[#This Row],[Wählversuche]]/AkquiseTracking[[#This Row],[Gespräche mit Empfang]],0)</f>
        <v>0</v>
      </c>
      <c r="E221" s="161"/>
      <c r="F221" s="163">
        <f>IFERROR(AkquiseTracking[[#This Row],[Gespräche mit Entscheider]]/AkquiseTracking[[#This Row],[Gespräche mit Empfang]],0)</f>
        <v>0</v>
      </c>
      <c r="G221" s="161"/>
      <c r="H221" s="163">
        <f>IFERROR(AkquiseTracking[[#This Row],[Termine vereinbart]]/AkquiseTracking[[#This Row],[Gespräche mit Empfang]],0)</f>
        <v>0</v>
      </c>
    </row>
    <row r="222" spans="1:8" ht="22.5" customHeight="1">
      <c r="A222" s="160"/>
      <c r="B222" s="161"/>
      <c r="C222" s="161"/>
      <c r="D222" s="163">
        <f>IFERROR(AkquiseTracking[[#This Row],[Wählversuche]]/AkquiseTracking[[#This Row],[Gespräche mit Empfang]],0)</f>
        <v>0</v>
      </c>
      <c r="E222" s="161"/>
      <c r="F222" s="163">
        <f>IFERROR(AkquiseTracking[[#This Row],[Gespräche mit Entscheider]]/AkquiseTracking[[#This Row],[Gespräche mit Empfang]],0)</f>
        <v>0</v>
      </c>
      <c r="G222" s="161"/>
      <c r="H222" s="163">
        <f>IFERROR(AkquiseTracking[[#This Row],[Termine vereinbart]]/AkquiseTracking[[#This Row],[Gespräche mit Empfang]],0)</f>
        <v>0</v>
      </c>
    </row>
    <row r="223" spans="1:8" ht="22.5" customHeight="1">
      <c r="A223" s="160"/>
      <c r="B223" s="161"/>
      <c r="C223" s="161"/>
      <c r="D223" s="163">
        <f>IFERROR(AkquiseTracking[[#This Row],[Wählversuche]]/AkquiseTracking[[#This Row],[Gespräche mit Empfang]],0)</f>
        <v>0</v>
      </c>
      <c r="E223" s="161"/>
      <c r="F223" s="163">
        <f>IFERROR(AkquiseTracking[[#This Row],[Gespräche mit Entscheider]]/AkquiseTracking[[#This Row],[Gespräche mit Empfang]],0)</f>
        <v>0</v>
      </c>
      <c r="G223" s="161"/>
      <c r="H223" s="163">
        <f>IFERROR(AkquiseTracking[[#This Row],[Termine vereinbart]]/AkquiseTracking[[#This Row],[Gespräche mit Empfang]],0)</f>
        <v>0</v>
      </c>
    </row>
    <row r="224" spans="1:8" ht="22.5" customHeight="1">
      <c r="A224" s="160"/>
      <c r="B224" s="161"/>
      <c r="C224" s="161"/>
      <c r="D224" s="163">
        <f>IFERROR(AkquiseTracking[[#This Row],[Wählversuche]]/AkquiseTracking[[#This Row],[Gespräche mit Empfang]],0)</f>
        <v>0</v>
      </c>
      <c r="E224" s="161"/>
      <c r="F224" s="163">
        <f>IFERROR(AkquiseTracking[[#This Row],[Gespräche mit Entscheider]]/AkquiseTracking[[#This Row],[Gespräche mit Empfang]],0)</f>
        <v>0</v>
      </c>
      <c r="G224" s="161"/>
      <c r="H224" s="163">
        <f>IFERROR(AkquiseTracking[[#This Row],[Termine vereinbart]]/AkquiseTracking[[#This Row],[Gespräche mit Empfang]],0)</f>
        <v>0</v>
      </c>
    </row>
    <row r="225" spans="1:8" ht="22.5" customHeight="1">
      <c r="A225" s="160"/>
      <c r="B225" s="161"/>
      <c r="C225" s="161"/>
      <c r="D225" s="163">
        <f>IFERROR(AkquiseTracking[[#This Row],[Wählversuche]]/AkquiseTracking[[#This Row],[Gespräche mit Empfang]],0)</f>
        <v>0</v>
      </c>
      <c r="E225" s="161"/>
      <c r="F225" s="163">
        <f>IFERROR(AkquiseTracking[[#This Row],[Gespräche mit Entscheider]]/AkquiseTracking[[#This Row],[Gespräche mit Empfang]],0)</f>
        <v>0</v>
      </c>
      <c r="G225" s="161"/>
      <c r="H225" s="163">
        <f>IFERROR(AkquiseTracking[[#This Row],[Termine vereinbart]]/AkquiseTracking[[#This Row],[Gespräche mit Empfang]],0)</f>
        <v>0</v>
      </c>
    </row>
    <row r="226" spans="1:8" ht="22.5" customHeight="1">
      <c r="A226" s="160"/>
      <c r="B226" s="161"/>
      <c r="C226" s="161"/>
      <c r="D226" s="163">
        <f>IFERROR(AkquiseTracking[[#This Row],[Wählversuche]]/AkquiseTracking[[#This Row],[Gespräche mit Empfang]],0)</f>
        <v>0</v>
      </c>
      <c r="E226" s="161"/>
      <c r="F226" s="163">
        <f>IFERROR(AkquiseTracking[[#This Row],[Gespräche mit Entscheider]]/AkquiseTracking[[#This Row],[Gespräche mit Empfang]],0)</f>
        <v>0</v>
      </c>
      <c r="G226" s="161"/>
      <c r="H226" s="163">
        <f>IFERROR(AkquiseTracking[[#This Row],[Termine vereinbart]]/AkquiseTracking[[#This Row],[Gespräche mit Empfang]],0)</f>
        <v>0</v>
      </c>
    </row>
    <row r="227" spans="1:8" ht="22.5" customHeight="1">
      <c r="A227" s="160"/>
      <c r="B227" s="161"/>
      <c r="C227" s="161"/>
      <c r="D227" s="163">
        <f>IFERROR(AkquiseTracking[[#This Row],[Wählversuche]]/AkquiseTracking[[#This Row],[Gespräche mit Empfang]],0)</f>
        <v>0</v>
      </c>
      <c r="E227" s="161"/>
      <c r="F227" s="163">
        <f>IFERROR(AkquiseTracking[[#This Row],[Gespräche mit Entscheider]]/AkquiseTracking[[#This Row],[Gespräche mit Empfang]],0)</f>
        <v>0</v>
      </c>
      <c r="G227" s="161"/>
      <c r="H227" s="163">
        <f>IFERROR(AkquiseTracking[[#This Row],[Termine vereinbart]]/AkquiseTracking[[#This Row],[Gespräche mit Empfang]],0)</f>
        <v>0</v>
      </c>
    </row>
    <row r="228" spans="1:8" ht="22.5" customHeight="1">
      <c r="A228" s="160"/>
      <c r="B228" s="161"/>
      <c r="C228" s="161"/>
      <c r="D228" s="163">
        <f>IFERROR(AkquiseTracking[[#This Row],[Wählversuche]]/AkquiseTracking[[#This Row],[Gespräche mit Empfang]],0)</f>
        <v>0</v>
      </c>
      <c r="E228" s="161"/>
      <c r="F228" s="163">
        <f>IFERROR(AkquiseTracking[[#This Row],[Gespräche mit Entscheider]]/AkquiseTracking[[#This Row],[Gespräche mit Empfang]],0)</f>
        <v>0</v>
      </c>
      <c r="G228" s="161"/>
      <c r="H228" s="163">
        <f>IFERROR(AkquiseTracking[[#This Row],[Termine vereinbart]]/AkquiseTracking[[#This Row],[Gespräche mit Empfang]],0)</f>
        <v>0</v>
      </c>
    </row>
    <row r="229" spans="1:8" ht="22.5" customHeight="1">
      <c r="A229" s="160"/>
      <c r="B229" s="161"/>
      <c r="C229" s="161"/>
      <c r="D229" s="163">
        <f>IFERROR(AkquiseTracking[[#This Row],[Wählversuche]]/AkquiseTracking[[#This Row],[Gespräche mit Empfang]],0)</f>
        <v>0</v>
      </c>
      <c r="E229" s="161"/>
      <c r="F229" s="163">
        <f>IFERROR(AkquiseTracking[[#This Row],[Gespräche mit Entscheider]]/AkquiseTracking[[#This Row],[Gespräche mit Empfang]],0)</f>
        <v>0</v>
      </c>
      <c r="G229" s="161"/>
      <c r="H229" s="163">
        <f>IFERROR(AkquiseTracking[[#This Row],[Termine vereinbart]]/AkquiseTracking[[#This Row],[Gespräche mit Empfang]],0)</f>
        <v>0</v>
      </c>
    </row>
    <row r="230" spans="1:8" ht="22.5" customHeight="1">
      <c r="A230" s="160"/>
      <c r="B230" s="161"/>
      <c r="C230" s="161"/>
      <c r="D230" s="163">
        <f>IFERROR(AkquiseTracking[[#This Row],[Wählversuche]]/AkquiseTracking[[#This Row],[Gespräche mit Empfang]],0)</f>
        <v>0</v>
      </c>
      <c r="E230" s="161"/>
      <c r="F230" s="163">
        <f>IFERROR(AkquiseTracking[[#This Row],[Gespräche mit Entscheider]]/AkquiseTracking[[#This Row],[Gespräche mit Empfang]],0)</f>
        <v>0</v>
      </c>
      <c r="G230" s="161"/>
      <c r="H230" s="163">
        <f>IFERROR(AkquiseTracking[[#This Row],[Termine vereinbart]]/AkquiseTracking[[#This Row],[Gespräche mit Empfang]],0)</f>
        <v>0</v>
      </c>
    </row>
    <row r="231" spans="1:8" ht="22.5" customHeight="1">
      <c r="A231" s="160"/>
      <c r="B231" s="161"/>
      <c r="C231" s="161"/>
      <c r="D231" s="163">
        <f>IFERROR(AkquiseTracking[[#This Row],[Wählversuche]]/AkquiseTracking[[#This Row],[Gespräche mit Empfang]],0)</f>
        <v>0</v>
      </c>
      <c r="E231" s="161"/>
      <c r="F231" s="163">
        <f>IFERROR(AkquiseTracking[[#This Row],[Gespräche mit Entscheider]]/AkquiseTracking[[#This Row],[Gespräche mit Empfang]],0)</f>
        <v>0</v>
      </c>
      <c r="G231" s="161"/>
      <c r="H231" s="163">
        <f>IFERROR(AkquiseTracking[[#This Row],[Termine vereinbart]]/AkquiseTracking[[#This Row],[Gespräche mit Empfang]],0)</f>
        <v>0</v>
      </c>
    </row>
    <row r="232" spans="1:8" ht="22.5" customHeight="1">
      <c r="A232" s="160"/>
      <c r="B232" s="161"/>
      <c r="C232" s="161"/>
      <c r="D232" s="163">
        <f>IFERROR(AkquiseTracking[[#This Row],[Wählversuche]]/AkquiseTracking[[#This Row],[Gespräche mit Empfang]],0)</f>
        <v>0</v>
      </c>
      <c r="E232" s="161"/>
      <c r="F232" s="163">
        <f>IFERROR(AkquiseTracking[[#This Row],[Gespräche mit Entscheider]]/AkquiseTracking[[#This Row],[Gespräche mit Empfang]],0)</f>
        <v>0</v>
      </c>
      <c r="G232" s="161"/>
      <c r="H232" s="163">
        <f>IFERROR(AkquiseTracking[[#This Row],[Termine vereinbart]]/AkquiseTracking[[#This Row],[Gespräche mit Empfang]],0)</f>
        <v>0</v>
      </c>
    </row>
    <row r="233" spans="1:8" ht="22.5" customHeight="1">
      <c r="A233" s="160"/>
      <c r="B233" s="161"/>
      <c r="C233" s="161"/>
      <c r="D233" s="163">
        <f>IFERROR(AkquiseTracking[[#This Row],[Wählversuche]]/AkquiseTracking[[#This Row],[Gespräche mit Empfang]],0)</f>
        <v>0</v>
      </c>
      <c r="E233" s="161"/>
      <c r="F233" s="163">
        <f>IFERROR(AkquiseTracking[[#This Row],[Gespräche mit Entscheider]]/AkquiseTracking[[#This Row],[Gespräche mit Empfang]],0)</f>
        <v>0</v>
      </c>
      <c r="G233" s="161"/>
      <c r="H233" s="163">
        <f>IFERROR(AkquiseTracking[[#This Row],[Termine vereinbart]]/AkquiseTracking[[#This Row],[Gespräche mit Empfang]],0)</f>
        <v>0</v>
      </c>
    </row>
    <row r="234" spans="1:8" ht="22.5" customHeight="1">
      <c r="A234" s="160"/>
      <c r="B234" s="161"/>
      <c r="C234" s="161"/>
      <c r="D234" s="163">
        <f>IFERROR(AkquiseTracking[[#This Row],[Wählversuche]]/AkquiseTracking[[#This Row],[Gespräche mit Empfang]],0)</f>
        <v>0</v>
      </c>
      <c r="E234" s="161"/>
      <c r="F234" s="163">
        <f>IFERROR(AkquiseTracking[[#This Row],[Gespräche mit Entscheider]]/AkquiseTracking[[#This Row],[Gespräche mit Empfang]],0)</f>
        <v>0</v>
      </c>
      <c r="G234" s="161"/>
      <c r="H234" s="163">
        <f>IFERROR(AkquiseTracking[[#This Row],[Termine vereinbart]]/AkquiseTracking[[#This Row],[Gespräche mit Empfang]],0)</f>
        <v>0</v>
      </c>
    </row>
    <row r="235" spans="1:8" ht="22.5" customHeight="1">
      <c r="A235" s="160"/>
      <c r="B235" s="161"/>
      <c r="C235" s="161"/>
      <c r="D235" s="163">
        <f>IFERROR(AkquiseTracking[[#This Row],[Wählversuche]]/AkquiseTracking[[#This Row],[Gespräche mit Empfang]],0)</f>
        <v>0</v>
      </c>
      <c r="E235" s="161"/>
      <c r="F235" s="163">
        <f>IFERROR(AkquiseTracking[[#This Row],[Gespräche mit Entscheider]]/AkquiseTracking[[#This Row],[Gespräche mit Empfang]],0)</f>
        <v>0</v>
      </c>
      <c r="G235" s="161"/>
      <c r="H235" s="163">
        <f>IFERROR(AkquiseTracking[[#This Row],[Termine vereinbart]]/AkquiseTracking[[#This Row],[Gespräche mit Empfang]],0)</f>
        <v>0</v>
      </c>
    </row>
    <row r="236" spans="1:8" ht="22.5" customHeight="1">
      <c r="A236" s="160"/>
      <c r="B236" s="161"/>
      <c r="C236" s="161"/>
      <c r="D236" s="163">
        <f>IFERROR(AkquiseTracking[[#This Row],[Wählversuche]]/AkquiseTracking[[#This Row],[Gespräche mit Empfang]],0)</f>
        <v>0</v>
      </c>
      <c r="E236" s="161"/>
      <c r="F236" s="163">
        <f>IFERROR(AkquiseTracking[[#This Row],[Gespräche mit Entscheider]]/AkquiseTracking[[#This Row],[Gespräche mit Empfang]],0)</f>
        <v>0</v>
      </c>
      <c r="G236" s="161"/>
      <c r="H236" s="163">
        <f>IFERROR(AkquiseTracking[[#This Row],[Termine vereinbart]]/AkquiseTracking[[#This Row],[Gespräche mit Empfang]],0)</f>
        <v>0</v>
      </c>
    </row>
    <row r="237" spans="1:8" ht="22.5" customHeight="1">
      <c r="A237" s="160"/>
      <c r="B237" s="161"/>
      <c r="C237" s="161"/>
      <c r="D237" s="163">
        <f>IFERROR(AkquiseTracking[[#This Row],[Wählversuche]]/AkquiseTracking[[#This Row],[Gespräche mit Empfang]],0)</f>
        <v>0</v>
      </c>
      <c r="E237" s="161"/>
      <c r="F237" s="163">
        <f>IFERROR(AkquiseTracking[[#This Row],[Gespräche mit Entscheider]]/AkquiseTracking[[#This Row],[Gespräche mit Empfang]],0)</f>
        <v>0</v>
      </c>
      <c r="G237" s="161"/>
      <c r="H237" s="163">
        <f>IFERROR(AkquiseTracking[[#This Row],[Termine vereinbart]]/AkquiseTracking[[#This Row],[Gespräche mit Empfang]],0)</f>
        <v>0</v>
      </c>
    </row>
    <row r="238" spans="1:8" ht="22.5" customHeight="1">
      <c r="A238" s="160"/>
      <c r="B238" s="161"/>
      <c r="C238" s="161"/>
      <c r="D238" s="163">
        <f>IFERROR(AkquiseTracking[[#This Row],[Wählversuche]]/AkquiseTracking[[#This Row],[Gespräche mit Empfang]],0)</f>
        <v>0</v>
      </c>
      <c r="E238" s="161"/>
      <c r="F238" s="163">
        <f>IFERROR(AkquiseTracking[[#This Row],[Gespräche mit Entscheider]]/AkquiseTracking[[#This Row],[Gespräche mit Empfang]],0)</f>
        <v>0</v>
      </c>
      <c r="G238" s="161"/>
      <c r="H238" s="163">
        <f>IFERROR(AkquiseTracking[[#This Row],[Termine vereinbart]]/AkquiseTracking[[#This Row],[Gespräche mit Empfang]],0)</f>
        <v>0</v>
      </c>
    </row>
    <row r="239" spans="1:8" ht="22.5" customHeight="1">
      <c r="A239" s="160"/>
      <c r="B239" s="161"/>
      <c r="C239" s="161"/>
      <c r="D239" s="163">
        <f>IFERROR(AkquiseTracking[[#This Row],[Wählversuche]]/AkquiseTracking[[#This Row],[Gespräche mit Empfang]],0)</f>
        <v>0</v>
      </c>
      <c r="E239" s="161"/>
      <c r="F239" s="163">
        <f>IFERROR(AkquiseTracking[[#This Row],[Gespräche mit Entscheider]]/AkquiseTracking[[#This Row],[Gespräche mit Empfang]],0)</f>
        <v>0</v>
      </c>
      <c r="G239" s="161"/>
      <c r="H239" s="163">
        <f>IFERROR(AkquiseTracking[[#This Row],[Termine vereinbart]]/AkquiseTracking[[#This Row],[Gespräche mit Empfang]],0)</f>
        <v>0</v>
      </c>
    </row>
    <row r="240" spans="1:8" ht="22.5" customHeight="1">
      <c r="A240" s="160"/>
      <c r="B240" s="161"/>
      <c r="C240" s="161"/>
      <c r="D240" s="163">
        <f>IFERROR(AkquiseTracking[[#This Row],[Wählversuche]]/AkquiseTracking[[#This Row],[Gespräche mit Empfang]],0)</f>
        <v>0</v>
      </c>
      <c r="E240" s="161"/>
      <c r="F240" s="163">
        <f>IFERROR(AkquiseTracking[[#This Row],[Gespräche mit Entscheider]]/AkquiseTracking[[#This Row],[Gespräche mit Empfang]],0)</f>
        <v>0</v>
      </c>
      <c r="G240" s="161"/>
      <c r="H240" s="163">
        <f>IFERROR(AkquiseTracking[[#This Row],[Termine vereinbart]]/AkquiseTracking[[#This Row],[Gespräche mit Empfang]],0)</f>
        <v>0</v>
      </c>
    </row>
    <row r="241" spans="1:8" ht="22.5" customHeight="1">
      <c r="A241" s="160"/>
      <c r="B241" s="161"/>
      <c r="C241" s="161"/>
      <c r="D241" s="163">
        <f>IFERROR(AkquiseTracking[[#This Row],[Wählversuche]]/AkquiseTracking[[#This Row],[Gespräche mit Empfang]],0)</f>
        <v>0</v>
      </c>
      <c r="E241" s="161"/>
      <c r="F241" s="163">
        <f>IFERROR(AkquiseTracking[[#This Row],[Gespräche mit Entscheider]]/AkquiseTracking[[#This Row],[Gespräche mit Empfang]],0)</f>
        <v>0</v>
      </c>
      <c r="G241" s="161"/>
      <c r="H241" s="163">
        <f>IFERROR(AkquiseTracking[[#This Row],[Termine vereinbart]]/AkquiseTracking[[#This Row],[Gespräche mit Empfang]],0)</f>
        <v>0</v>
      </c>
    </row>
    <row r="242" spans="1:8" ht="22.5" customHeight="1">
      <c r="A242" s="160"/>
      <c r="B242" s="161"/>
      <c r="C242" s="161"/>
      <c r="D242" s="163">
        <f>IFERROR(AkquiseTracking[[#This Row],[Wählversuche]]/AkquiseTracking[[#This Row],[Gespräche mit Empfang]],0)</f>
        <v>0</v>
      </c>
      <c r="E242" s="161"/>
      <c r="F242" s="163">
        <f>IFERROR(AkquiseTracking[[#This Row],[Gespräche mit Entscheider]]/AkquiseTracking[[#This Row],[Gespräche mit Empfang]],0)</f>
        <v>0</v>
      </c>
      <c r="G242" s="161"/>
      <c r="H242" s="163">
        <f>IFERROR(AkquiseTracking[[#This Row],[Termine vereinbart]]/AkquiseTracking[[#This Row],[Gespräche mit Empfang]],0)</f>
        <v>0</v>
      </c>
    </row>
    <row r="243" spans="1:8" ht="22.5" customHeight="1">
      <c r="A243" s="160"/>
      <c r="B243" s="161"/>
      <c r="C243" s="161"/>
      <c r="D243" s="163">
        <f>IFERROR(AkquiseTracking[[#This Row],[Wählversuche]]/AkquiseTracking[[#This Row],[Gespräche mit Empfang]],0)</f>
        <v>0</v>
      </c>
      <c r="E243" s="161"/>
      <c r="F243" s="163">
        <f>IFERROR(AkquiseTracking[[#This Row],[Gespräche mit Entscheider]]/AkquiseTracking[[#This Row],[Gespräche mit Empfang]],0)</f>
        <v>0</v>
      </c>
      <c r="G243" s="161"/>
      <c r="H243" s="163">
        <f>IFERROR(AkquiseTracking[[#This Row],[Termine vereinbart]]/AkquiseTracking[[#This Row],[Gespräche mit Empfang]],0)</f>
        <v>0</v>
      </c>
    </row>
    <row r="244" spans="1:8" ht="22.5" customHeight="1">
      <c r="A244" s="160"/>
      <c r="B244" s="161"/>
      <c r="C244" s="161"/>
      <c r="D244" s="163">
        <f>IFERROR(AkquiseTracking[[#This Row],[Wählversuche]]/AkquiseTracking[[#This Row],[Gespräche mit Empfang]],0)</f>
        <v>0</v>
      </c>
      <c r="E244" s="161"/>
      <c r="F244" s="163">
        <f>IFERROR(AkquiseTracking[[#This Row],[Gespräche mit Entscheider]]/AkquiseTracking[[#This Row],[Gespräche mit Empfang]],0)</f>
        <v>0</v>
      </c>
      <c r="G244" s="161"/>
      <c r="H244" s="163">
        <f>IFERROR(AkquiseTracking[[#This Row],[Termine vereinbart]]/AkquiseTracking[[#This Row],[Gespräche mit Empfang]],0)</f>
        <v>0</v>
      </c>
    </row>
    <row r="245" spans="1:8" ht="22.5" customHeight="1">
      <c r="A245" s="160"/>
      <c r="B245" s="161"/>
      <c r="C245" s="161"/>
      <c r="D245" s="163">
        <f>IFERROR(AkquiseTracking[[#This Row],[Wählversuche]]/AkquiseTracking[[#This Row],[Gespräche mit Empfang]],0)</f>
        <v>0</v>
      </c>
      <c r="E245" s="161"/>
      <c r="F245" s="163">
        <f>IFERROR(AkquiseTracking[[#This Row],[Gespräche mit Entscheider]]/AkquiseTracking[[#This Row],[Gespräche mit Empfang]],0)</f>
        <v>0</v>
      </c>
      <c r="G245" s="161"/>
      <c r="H245" s="163">
        <f>IFERROR(AkquiseTracking[[#This Row],[Termine vereinbart]]/AkquiseTracking[[#This Row],[Gespräche mit Empfang]],0)</f>
        <v>0</v>
      </c>
    </row>
    <row r="246" spans="1:8" ht="22.5" customHeight="1">
      <c r="A246" s="160"/>
      <c r="B246" s="161"/>
      <c r="C246" s="161"/>
      <c r="D246" s="163">
        <f>IFERROR(AkquiseTracking[[#This Row],[Wählversuche]]/AkquiseTracking[[#This Row],[Gespräche mit Empfang]],0)</f>
        <v>0</v>
      </c>
      <c r="E246" s="161"/>
      <c r="F246" s="163">
        <f>IFERROR(AkquiseTracking[[#This Row],[Gespräche mit Entscheider]]/AkquiseTracking[[#This Row],[Gespräche mit Empfang]],0)</f>
        <v>0</v>
      </c>
      <c r="G246" s="161"/>
      <c r="H246" s="163">
        <f>IFERROR(AkquiseTracking[[#This Row],[Termine vereinbart]]/AkquiseTracking[[#This Row],[Gespräche mit Empfang]],0)</f>
        <v>0</v>
      </c>
    </row>
    <row r="247" spans="1:8" ht="22.5" customHeight="1">
      <c r="A247" s="160"/>
      <c r="B247" s="161"/>
      <c r="C247" s="161"/>
      <c r="D247" s="163">
        <f>IFERROR(AkquiseTracking[[#This Row],[Wählversuche]]/AkquiseTracking[[#This Row],[Gespräche mit Empfang]],0)</f>
        <v>0</v>
      </c>
      <c r="E247" s="161"/>
      <c r="F247" s="163">
        <f>IFERROR(AkquiseTracking[[#This Row],[Gespräche mit Entscheider]]/AkquiseTracking[[#This Row],[Gespräche mit Empfang]],0)</f>
        <v>0</v>
      </c>
      <c r="G247" s="161"/>
      <c r="H247" s="163">
        <f>IFERROR(AkquiseTracking[[#This Row],[Termine vereinbart]]/AkquiseTracking[[#This Row],[Gespräche mit Empfang]],0)</f>
        <v>0</v>
      </c>
    </row>
    <row r="248" spans="1:8" ht="22.5" customHeight="1">
      <c r="A248" s="160"/>
      <c r="B248" s="161"/>
      <c r="C248" s="161"/>
      <c r="D248" s="163">
        <f>IFERROR(AkquiseTracking[[#This Row],[Wählversuche]]/AkquiseTracking[[#This Row],[Gespräche mit Empfang]],0)</f>
        <v>0</v>
      </c>
      <c r="E248" s="161"/>
      <c r="F248" s="163">
        <f>IFERROR(AkquiseTracking[[#This Row],[Gespräche mit Entscheider]]/AkquiseTracking[[#This Row],[Gespräche mit Empfang]],0)</f>
        <v>0</v>
      </c>
      <c r="G248" s="161"/>
      <c r="H248" s="163">
        <f>IFERROR(AkquiseTracking[[#This Row],[Termine vereinbart]]/AkquiseTracking[[#This Row],[Gespräche mit Empfang]],0)</f>
        <v>0</v>
      </c>
    </row>
    <row r="249" spans="1:8" ht="22.5" customHeight="1">
      <c r="A249" s="160"/>
      <c r="B249" s="161"/>
      <c r="C249" s="161"/>
      <c r="D249" s="163">
        <f>IFERROR(AkquiseTracking[[#This Row],[Wählversuche]]/AkquiseTracking[[#This Row],[Gespräche mit Empfang]],0)</f>
        <v>0</v>
      </c>
      <c r="E249" s="161"/>
      <c r="F249" s="163">
        <f>IFERROR(AkquiseTracking[[#This Row],[Gespräche mit Entscheider]]/AkquiseTracking[[#This Row],[Gespräche mit Empfang]],0)</f>
        <v>0</v>
      </c>
      <c r="G249" s="161"/>
      <c r="H249" s="163">
        <f>IFERROR(AkquiseTracking[[#This Row],[Termine vereinbart]]/AkquiseTracking[[#This Row],[Gespräche mit Empfang]],0)</f>
        <v>0</v>
      </c>
    </row>
    <row r="250" spans="1:8" ht="22.5" customHeight="1">
      <c r="A250" s="160"/>
      <c r="B250" s="161"/>
      <c r="C250" s="161"/>
      <c r="D250" s="163">
        <f>IFERROR(AkquiseTracking[[#This Row],[Wählversuche]]/AkquiseTracking[[#This Row],[Gespräche mit Empfang]],0)</f>
        <v>0</v>
      </c>
      <c r="E250" s="161"/>
      <c r="F250" s="163">
        <f>IFERROR(AkquiseTracking[[#This Row],[Gespräche mit Entscheider]]/AkquiseTracking[[#This Row],[Gespräche mit Empfang]],0)</f>
        <v>0</v>
      </c>
      <c r="G250" s="161"/>
      <c r="H250" s="163">
        <f>IFERROR(AkquiseTracking[[#This Row],[Termine vereinbart]]/AkquiseTracking[[#This Row],[Gespräche mit Empfang]],0)</f>
        <v>0</v>
      </c>
    </row>
    <row r="251" spans="1:8" ht="22.5" customHeight="1">
      <c r="A251" s="160"/>
      <c r="B251" s="161"/>
      <c r="C251" s="161"/>
      <c r="D251" s="163">
        <f>IFERROR(AkquiseTracking[[#This Row],[Wählversuche]]/AkquiseTracking[[#This Row],[Gespräche mit Empfang]],0)</f>
        <v>0</v>
      </c>
      <c r="E251" s="161"/>
      <c r="F251" s="163">
        <f>IFERROR(AkquiseTracking[[#This Row],[Gespräche mit Entscheider]]/AkquiseTracking[[#This Row],[Gespräche mit Empfang]],0)</f>
        <v>0</v>
      </c>
      <c r="G251" s="161"/>
      <c r="H251" s="163">
        <f>IFERROR(AkquiseTracking[[#This Row],[Termine vereinbart]]/AkquiseTracking[[#This Row],[Gespräche mit Empfang]],0)</f>
        <v>0</v>
      </c>
    </row>
    <row r="252" spans="1:8" ht="22.5" customHeight="1">
      <c r="A252" s="160"/>
      <c r="B252" s="161"/>
      <c r="C252" s="161"/>
      <c r="D252" s="163">
        <f>IFERROR(AkquiseTracking[[#This Row],[Wählversuche]]/AkquiseTracking[[#This Row],[Gespräche mit Empfang]],0)</f>
        <v>0</v>
      </c>
      <c r="E252" s="161"/>
      <c r="F252" s="163">
        <f>IFERROR(AkquiseTracking[[#This Row],[Gespräche mit Entscheider]]/AkquiseTracking[[#This Row],[Gespräche mit Empfang]],0)</f>
        <v>0</v>
      </c>
      <c r="G252" s="161"/>
      <c r="H252" s="163">
        <f>IFERROR(AkquiseTracking[[#This Row],[Termine vereinbart]]/AkquiseTracking[[#This Row],[Gespräche mit Empfang]],0)</f>
        <v>0</v>
      </c>
    </row>
    <row r="253" spans="1:8" ht="22.5" customHeight="1">
      <c r="A253" s="160"/>
      <c r="B253" s="161"/>
      <c r="C253" s="161"/>
      <c r="D253" s="163">
        <f>IFERROR(AkquiseTracking[[#This Row],[Wählversuche]]/AkquiseTracking[[#This Row],[Gespräche mit Empfang]],0)</f>
        <v>0</v>
      </c>
      <c r="E253" s="161"/>
      <c r="F253" s="163">
        <f>IFERROR(AkquiseTracking[[#This Row],[Gespräche mit Entscheider]]/AkquiseTracking[[#This Row],[Gespräche mit Empfang]],0)</f>
        <v>0</v>
      </c>
      <c r="G253" s="161"/>
      <c r="H253" s="163">
        <f>IFERROR(AkquiseTracking[[#This Row],[Termine vereinbart]]/AkquiseTracking[[#This Row],[Gespräche mit Empfang]],0)</f>
        <v>0</v>
      </c>
    </row>
    <row r="254" spans="1:8" ht="22.5" customHeight="1">
      <c r="A254" s="160"/>
      <c r="B254" s="161"/>
      <c r="C254" s="161"/>
      <c r="D254" s="163">
        <f>IFERROR(AkquiseTracking[[#This Row],[Wählversuche]]/AkquiseTracking[[#This Row],[Gespräche mit Empfang]],0)</f>
        <v>0</v>
      </c>
      <c r="E254" s="161"/>
      <c r="F254" s="163">
        <f>IFERROR(AkquiseTracking[[#This Row],[Gespräche mit Entscheider]]/AkquiseTracking[[#This Row],[Gespräche mit Empfang]],0)</f>
        <v>0</v>
      </c>
      <c r="G254" s="161"/>
      <c r="H254" s="163">
        <f>IFERROR(AkquiseTracking[[#This Row],[Termine vereinbart]]/AkquiseTracking[[#This Row],[Gespräche mit Empfang]],0)</f>
        <v>0</v>
      </c>
    </row>
    <row r="255" spans="1:8" ht="22.5" customHeight="1">
      <c r="A255" s="160"/>
      <c r="B255" s="161"/>
      <c r="C255" s="161"/>
      <c r="D255" s="163">
        <f>IFERROR(AkquiseTracking[[#This Row],[Wählversuche]]/AkquiseTracking[[#This Row],[Gespräche mit Empfang]],0)</f>
        <v>0</v>
      </c>
      <c r="E255" s="161"/>
      <c r="F255" s="163">
        <f>IFERROR(AkquiseTracking[[#This Row],[Gespräche mit Entscheider]]/AkquiseTracking[[#This Row],[Gespräche mit Empfang]],0)</f>
        <v>0</v>
      </c>
      <c r="G255" s="161"/>
      <c r="H255" s="163">
        <f>IFERROR(AkquiseTracking[[#This Row],[Termine vereinbart]]/AkquiseTracking[[#This Row],[Gespräche mit Empfang]],0)</f>
        <v>0</v>
      </c>
    </row>
    <row r="256" spans="1:8" ht="22.5" customHeight="1">
      <c r="A256" s="160"/>
      <c r="B256" s="161"/>
      <c r="C256" s="161"/>
      <c r="D256" s="163">
        <f>IFERROR(AkquiseTracking[[#This Row],[Wählversuche]]/AkquiseTracking[[#This Row],[Gespräche mit Empfang]],0)</f>
        <v>0</v>
      </c>
      <c r="E256" s="161"/>
      <c r="F256" s="163">
        <f>IFERROR(AkquiseTracking[[#This Row],[Gespräche mit Entscheider]]/AkquiseTracking[[#This Row],[Gespräche mit Empfang]],0)</f>
        <v>0</v>
      </c>
      <c r="G256" s="161"/>
      <c r="H256" s="163">
        <f>IFERROR(AkquiseTracking[[#This Row],[Termine vereinbart]]/AkquiseTracking[[#This Row],[Gespräche mit Empfang]],0)</f>
        <v>0</v>
      </c>
    </row>
    <row r="257" spans="1:8" ht="22.5" customHeight="1">
      <c r="A257" s="160"/>
      <c r="B257" s="161"/>
      <c r="C257" s="161"/>
      <c r="D257" s="163">
        <f>IFERROR(AkquiseTracking[[#This Row],[Wählversuche]]/AkquiseTracking[[#This Row],[Gespräche mit Empfang]],0)</f>
        <v>0</v>
      </c>
      <c r="E257" s="161"/>
      <c r="F257" s="163">
        <f>IFERROR(AkquiseTracking[[#This Row],[Gespräche mit Entscheider]]/AkquiseTracking[[#This Row],[Gespräche mit Empfang]],0)</f>
        <v>0</v>
      </c>
      <c r="G257" s="161"/>
      <c r="H257" s="163">
        <f>IFERROR(AkquiseTracking[[#This Row],[Termine vereinbart]]/AkquiseTracking[[#This Row],[Gespräche mit Empfang]],0)</f>
        <v>0</v>
      </c>
    </row>
    <row r="258" spans="1:8" ht="22.5" customHeight="1">
      <c r="A258" s="160"/>
      <c r="B258" s="161"/>
      <c r="C258" s="161"/>
      <c r="D258" s="163">
        <f>IFERROR(AkquiseTracking[[#This Row],[Wählversuche]]/AkquiseTracking[[#This Row],[Gespräche mit Empfang]],0)</f>
        <v>0</v>
      </c>
      <c r="E258" s="161"/>
      <c r="F258" s="163">
        <f>IFERROR(AkquiseTracking[[#This Row],[Gespräche mit Entscheider]]/AkquiseTracking[[#This Row],[Gespräche mit Empfang]],0)</f>
        <v>0</v>
      </c>
      <c r="G258" s="161"/>
      <c r="H258" s="163">
        <f>IFERROR(AkquiseTracking[[#This Row],[Termine vereinbart]]/AkquiseTracking[[#This Row],[Gespräche mit Empfang]],0)</f>
        <v>0</v>
      </c>
    </row>
    <row r="259" spans="1:8" ht="22.5" customHeight="1">
      <c r="A259" s="160"/>
      <c r="B259" s="161"/>
      <c r="C259" s="161"/>
      <c r="D259" s="163">
        <f>IFERROR(AkquiseTracking[[#This Row],[Wählversuche]]/AkquiseTracking[[#This Row],[Gespräche mit Empfang]],0)</f>
        <v>0</v>
      </c>
      <c r="E259" s="161"/>
      <c r="F259" s="163">
        <f>IFERROR(AkquiseTracking[[#This Row],[Gespräche mit Entscheider]]/AkquiseTracking[[#This Row],[Gespräche mit Empfang]],0)</f>
        <v>0</v>
      </c>
      <c r="G259" s="161"/>
      <c r="H259" s="163">
        <f>IFERROR(AkquiseTracking[[#This Row],[Termine vereinbart]]/AkquiseTracking[[#This Row],[Gespräche mit Empfang]],0)</f>
        <v>0</v>
      </c>
    </row>
    <row r="260" spans="1:8" ht="22.5" customHeight="1">
      <c r="A260" s="160"/>
      <c r="B260" s="161"/>
      <c r="C260" s="161"/>
      <c r="D260" s="163">
        <f>IFERROR(AkquiseTracking[[#This Row],[Wählversuche]]/AkquiseTracking[[#This Row],[Gespräche mit Empfang]],0)</f>
        <v>0</v>
      </c>
      <c r="E260" s="161"/>
      <c r="F260" s="163">
        <f>IFERROR(AkquiseTracking[[#This Row],[Gespräche mit Entscheider]]/AkquiseTracking[[#This Row],[Gespräche mit Empfang]],0)</f>
        <v>0</v>
      </c>
      <c r="G260" s="161"/>
      <c r="H260" s="163">
        <f>IFERROR(AkquiseTracking[[#This Row],[Termine vereinbart]]/AkquiseTracking[[#This Row],[Gespräche mit Empfang]],0)</f>
        <v>0</v>
      </c>
    </row>
    <row r="261" spans="1:8" ht="22.5" customHeight="1">
      <c r="A261" s="160"/>
      <c r="B261" s="161"/>
      <c r="C261" s="161"/>
      <c r="D261" s="163">
        <f>IFERROR(AkquiseTracking[[#This Row],[Wählversuche]]/AkquiseTracking[[#This Row],[Gespräche mit Empfang]],0)</f>
        <v>0</v>
      </c>
      <c r="E261" s="161"/>
      <c r="F261" s="163">
        <f>IFERROR(AkquiseTracking[[#This Row],[Gespräche mit Entscheider]]/AkquiseTracking[[#This Row],[Gespräche mit Empfang]],0)</f>
        <v>0</v>
      </c>
      <c r="G261" s="161"/>
      <c r="H261" s="163">
        <f>IFERROR(AkquiseTracking[[#This Row],[Termine vereinbart]]/AkquiseTracking[[#This Row],[Gespräche mit Empfang]],0)</f>
        <v>0</v>
      </c>
    </row>
    <row r="262" spans="1:8" ht="22.5" customHeight="1">
      <c r="A262" s="160"/>
      <c r="B262" s="161"/>
      <c r="C262" s="161"/>
      <c r="D262" s="163">
        <f>IFERROR(AkquiseTracking[[#This Row],[Wählversuche]]/AkquiseTracking[[#This Row],[Gespräche mit Empfang]],0)</f>
        <v>0</v>
      </c>
      <c r="E262" s="161"/>
      <c r="F262" s="163">
        <f>IFERROR(AkquiseTracking[[#This Row],[Gespräche mit Entscheider]]/AkquiseTracking[[#This Row],[Gespräche mit Empfang]],0)</f>
        <v>0</v>
      </c>
      <c r="G262" s="161"/>
      <c r="H262" s="163">
        <f>IFERROR(AkquiseTracking[[#This Row],[Termine vereinbart]]/AkquiseTracking[[#This Row],[Gespräche mit Empfang]],0)</f>
        <v>0</v>
      </c>
    </row>
    <row r="263" spans="1:8" ht="22.5" customHeight="1">
      <c r="A263" s="160"/>
      <c r="B263" s="161"/>
      <c r="C263" s="161"/>
      <c r="D263" s="163">
        <f>IFERROR(AkquiseTracking[[#This Row],[Wählversuche]]/AkquiseTracking[[#This Row],[Gespräche mit Empfang]],0)</f>
        <v>0</v>
      </c>
      <c r="E263" s="161"/>
      <c r="F263" s="163">
        <f>IFERROR(AkquiseTracking[[#This Row],[Gespräche mit Entscheider]]/AkquiseTracking[[#This Row],[Gespräche mit Empfang]],0)</f>
        <v>0</v>
      </c>
      <c r="G263" s="161"/>
      <c r="H263" s="163">
        <f>IFERROR(AkquiseTracking[[#This Row],[Termine vereinbart]]/AkquiseTracking[[#This Row],[Gespräche mit Empfang]],0)</f>
        <v>0</v>
      </c>
    </row>
    <row r="264" spans="1:8" ht="22.5" customHeight="1">
      <c r="A264" s="160"/>
      <c r="B264" s="161"/>
      <c r="C264" s="161"/>
      <c r="D264" s="163">
        <f>IFERROR(AkquiseTracking[[#This Row],[Wählversuche]]/AkquiseTracking[[#This Row],[Gespräche mit Empfang]],0)</f>
        <v>0</v>
      </c>
      <c r="E264" s="161"/>
      <c r="F264" s="163">
        <f>IFERROR(AkquiseTracking[[#This Row],[Gespräche mit Entscheider]]/AkquiseTracking[[#This Row],[Gespräche mit Empfang]],0)</f>
        <v>0</v>
      </c>
      <c r="G264" s="161"/>
      <c r="H264" s="163">
        <f>IFERROR(AkquiseTracking[[#This Row],[Termine vereinbart]]/AkquiseTracking[[#This Row],[Gespräche mit Empfang]],0)</f>
        <v>0</v>
      </c>
    </row>
    <row r="265" spans="1:8" ht="22.5" customHeight="1">
      <c r="A265" s="160"/>
      <c r="B265" s="161"/>
      <c r="C265" s="161"/>
      <c r="D265" s="163">
        <f>IFERROR(AkquiseTracking[[#This Row],[Wählversuche]]/AkquiseTracking[[#This Row],[Gespräche mit Empfang]],0)</f>
        <v>0</v>
      </c>
      <c r="E265" s="161"/>
      <c r="F265" s="163">
        <f>IFERROR(AkquiseTracking[[#This Row],[Gespräche mit Entscheider]]/AkquiseTracking[[#This Row],[Gespräche mit Empfang]],0)</f>
        <v>0</v>
      </c>
      <c r="G265" s="161"/>
      <c r="H265" s="163">
        <f>IFERROR(AkquiseTracking[[#This Row],[Termine vereinbart]]/AkquiseTracking[[#This Row],[Gespräche mit Empfang]],0)</f>
        <v>0</v>
      </c>
    </row>
    <row r="266" spans="1:8" ht="22.5" customHeight="1">
      <c r="A266" s="160"/>
      <c r="B266" s="161"/>
      <c r="C266" s="161"/>
      <c r="D266" s="163">
        <f>IFERROR(AkquiseTracking[[#This Row],[Wählversuche]]/AkquiseTracking[[#This Row],[Gespräche mit Empfang]],0)</f>
        <v>0</v>
      </c>
      <c r="E266" s="161"/>
      <c r="F266" s="163">
        <f>IFERROR(AkquiseTracking[[#This Row],[Gespräche mit Entscheider]]/AkquiseTracking[[#This Row],[Gespräche mit Empfang]],0)</f>
        <v>0</v>
      </c>
      <c r="G266" s="161"/>
      <c r="H266" s="163">
        <f>IFERROR(AkquiseTracking[[#This Row],[Termine vereinbart]]/AkquiseTracking[[#This Row],[Gespräche mit Empfang]],0)</f>
        <v>0</v>
      </c>
    </row>
    <row r="267" spans="1:8" ht="22.5" customHeight="1">
      <c r="A267" s="160"/>
      <c r="B267" s="161"/>
      <c r="C267" s="161"/>
      <c r="D267" s="163">
        <f>IFERROR(AkquiseTracking[[#This Row],[Wählversuche]]/AkquiseTracking[[#This Row],[Gespräche mit Empfang]],0)</f>
        <v>0</v>
      </c>
      <c r="E267" s="161"/>
      <c r="F267" s="163">
        <f>IFERROR(AkquiseTracking[[#This Row],[Gespräche mit Entscheider]]/AkquiseTracking[[#This Row],[Gespräche mit Empfang]],0)</f>
        <v>0</v>
      </c>
      <c r="G267" s="161"/>
      <c r="H267" s="163">
        <f>IFERROR(AkquiseTracking[[#This Row],[Termine vereinbart]]/AkquiseTracking[[#This Row],[Gespräche mit Empfang]],0)</f>
        <v>0</v>
      </c>
    </row>
    <row r="268" spans="1:8" ht="22.5" customHeight="1">
      <c r="A268" s="160"/>
      <c r="B268" s="161"/>
      <c r="C268" s="161"/>
      <c r="D268" s="163">
        <f>IFERROR(AkquiseTracking[[#This Row],[Wählversuche]]/AkquiseTracking[[#This Row],[Gespräche mit Empfang]],0)</f>
        <v>0</v>
      </c>
      <c r="E268" s="161"/>
      <c r="F268" s="163">
        <f>IFERROR(AkquiseTracking[[#This Row],[Gespräche mit Entscheider]]/AkquiseTracking[[#This Row],[Gespräche mit Empfang]],0)</f>
        <v>0</v>
      </c>
      <c r="G268" s="161"/>
      <c r="H268" s="163">
        <f>IFERROR(AkquiseTracking[[#This Row],[Termine vereinbart]]/AkquiseTracking[[#This Row],[Gespräche mit Empfang]],0)</f>
        <v>0</v>
      </c>
    </row>
    <row r="269" spans="1:8" ht="22.5" customHeight="1">
      <c r="A269" s="160"/>
      <c r="B269" s="161"/>
      <c r="C269" s="161"/>
      <c r="D269" s="163">
        <f>IFERROR(AkquiseTracking[[#This Row],[Wählversuche]]/AkquiseTracking[[#This Row],[Gespräche mit Empfang]],0)</f>
        <v>0</v>
      </c>
      <c r="E269" s="161"/>
      <c r="F269" s="163">
        <f>IFERROR(AkquiseTracking[[#This Row],[Gespräche mit Entscheider]]/AkquiseTracking[[#This Row],[Gespräche mit Empfang]],0)</f>
        <v>0</v>
      </c>
      <c r="G269" s="161"/>
      <c r="H269" s="163">
        <f>IFERROR(AkquiseTracking[[#This Row],[Termine vereinbart]]/AkquiseTracking[[#This Row],[Gespräche mit Empfang]],0)</f>
        <v>0</v>
      </c>
    </row>
    <row r="270" spans="1:8" ht="22.5" customHeight="1">
      <c r="A270" s="160"/>
      <c r="B270" s="161"/>
      <c r="C270" s="161"/>
      <c r="D270" s="163">
        <f>IFERROR(AkquiseTracking[[#This Row],[Wählversuche]]/AkquiseTracking[[#This Row],[Gespräche mit Empfang]],0)</f>
        <v>0</v>
      </c>
      <c r="E270" s="161"/>
      <c r="F270" s="163">
        <f>IFERROR(AkquiseTracking[[#This Row],[Gespräche mit Entscheider]]/AkquiseTracking[[#This Row],[Gespräche mit Empfang]],0)</f>
        <v>0</v>
      </c>
      <c r="G270" s="161"/>
      <c r="H270" s="163">
        <f>IFERROR(AkquiseTracking[[#This Row],[Termine vereinbart]]/AkquiseTracking[[#This Row],[Gespräche mit Empfang]],0)</f>
        <v>0</v>
      </c>
    </row>
    <row r="271" spans="1:8" ht="22.5" customHeight="1">
      <c r="A271" s="160"/>
      <c r="B271" s="161"/>
      <c r="C271" s="161"/>
      <c r="D271" s="163">
        <f>IFERROR(AkquiseTracking[[#This Row],[Wählversuche]]/AkquiseTracking[[#This Row],[Gespräche mit Empfang]],0)</f>
        <v>0</v>
      </c>
      <c r="E271" s="161"/>
      <c r="F271" s="163">
        <f>IFERROR(AkquiseTracking[[#This Row],[Gespräche mit Entscheider]]/AkquiseTracking[[#This Row],[Gespräche mit Empfang]],0)</f>
        <v>0</v>
      </c>
      <c r="G271" s="161"/>
      <c r="H271" s="163">
        <f>IFERROR(AkquiseTracking[[#This Row],[Termine vereinbart]]/AkquiseTracking[[#This Row],[Gespräche mit Empfang]],0)</f>
        <v>0</v>
      </c>
    </row>
    <row r="272" spans="1:8" ht="22.5" customHeight="1">
      <c r="A272" s="160"/>
      <c r="B272" s="161"/>
      <c r="C272" s="161"/>
      <c r="D272" s="163">
        <f>IFERROR(AkquiseTracking[[#This Row],[Wählversuche]]/AkquiseTracking[[#This Row],[Gespräche mit Empfang]],0)</f>
        <v>0</v>
      </c>
      <c r="E272" s="161"/>
      <c r="F272" s="163">
        <f>IFERROR(AkquiseTracking[[#This Row],[Gespräche mit Entscheider]]/AkquiseTracking[[#This Row],[Gespräche mit Empfang]],0)</f>
        <v>0</v>
      </c>
      <c r="G272" s="161"/>
      <c r="H272" s="163">
        <f>IFERROR(AkquiseTracking[[#This Row],[Termine vereinbart]]/AkquiseTracking[[#This Row],[Gespräche mit Empfang]],0)</f>
        <v>0</v>
      </c>
    </row>
    <row r="273" spans="1:8" ht="22.5" customHeight="1">
      <c r="A273" s="160"/>
      <c r="B273" s="161"/>
      <c r="C273" s="161"/>
      <c r="D273" s="163">
        <f>IFERROR(AkquiseTracking[[#This Row],[Wählversuche]]/AkquiseTracking[[#This Row],[Gespräche mit Empfang]],0)</f>
        <v>0</v>
      </c>
      <c r="E273" s="161"/>
      <c r="F273" s="163">
        <f>IFERROR(AkquiseTracking[[#This Row],[Gespräche mit Entscheider]]/AkquiseTracking[[#This Row],[Gespräche mit Empfang]],0)</f>
        <v>0</v>
      </c>
      <c r="G273" s="161"/>
      <c r="H273" s="163">
        <f>IFERROR(AkquiseTracking[[#This Row],[Termine vereinbart]]/AkquiseTracking[[#This Row],[Gespräche mit Empfang]],0)</f>
        <v>0</v>
      </c>
    </row>
    <row r="274" spans="1:8" ht="22.5" customHeight="1">
      <c r="A274" s="160"/>
      <c r="B274" s="161"/>
      <c r="C274" s="161"/>
      <c r="D274" s="163">
        <f>IFERROR(AkquiseTracking[[#This Row],[Wählversuche]]/AkquiseTracking[[#This Row],[Gespräche mit Empfang]],0)</f>
        <v>0</v>
      </c>
      <c r="E274" s="161"/>
      <c r="F274" s="163">
        <f>IFERROR(AkquiseTracking[[#This Row],[Gespräche mit Entscheider]]/AkquiseTracking[[#This Row],[Gespräche mit Empfang]],0)</f>
        <v>0</v>
      </c>
      <c r="G274" s="161"/>
      <c r="H274" s="163">
        <f>IFERROR(AkquiseTracking[[#This Row],[Termine vereinbart]]/AkquiseTracking[[#This Row],[Gespräche mit Empfang]],0)</f>
        <v>0</v>
      </c>
    </row>
    <row r="275" spans="1:8" ht="22.5" customHeight="1">
      <c r="A275" s="160"/>
      <c r="B275" s="161"/>
      <c r="C275" s="161"/>
      <c r="D275" s="163">
        <f>IFERROR(AkquiseTracking[[#This Row],[Wählversuche]]/AkquiseTracking[[#This Row],[Gespräche mit Empfang]],0)</f>
        <v>0</v>
      </c>
      <c r="E275" s="161"/>
      <c r="F275" s="163">
        <f>IFERROR(AkquiseTracking[[#This Row],[Gespräche mit Entscheider]]/AkquiseTracking[[#This Row],[Gespräche mit Empfang]],0)</f>
        <v>0</v>
      </c>
      <c r="G275" s="161"/>
      <c r="H275" s="163">
        <f>IFERROR(AkquiseTracking[[#This Row],[Termine vereinbart]]/AkquiseTracking[[#This Row],[Gespräche mit Empfang]],0)</f>
        <v>0</v>
      </c>
    </row>
    <row r="276" spans="1:8" ht="22.5" customHeight="1">
      <c r="A276" s="160"/>
      <c r="B276" s="161"/>
      <c r="C276" s="161"/>
      <c r="D276" s="163">
        <f>IFERROR(AkquiseTracking[[#This Row],[Wählversuche]]/AkquiseTracking[[#This Row],[Gespräche mit Empfang]],0)</f>
        <v>0</v>
      </c>
      <c r="E276" s="161"/>
      <c r="F276" s="163">
        <f>IFERROR(AkquiseTracking[[#This Row],[Gespräche mit Entscheider]]/AkquiseTracking[[#This Row],[Gespräche mit Empfang]],0)</f>
        <v>0</v>
      </c>
      <c r="G276" s="161"/>
      <c r="H276" s="163">
        <f>IFERROR(AkquiseTracking[[#This Row],[Termine vereinbart]]/AkquiseTracking[[#This Row],[Gespräche mit Empfang]],0)</f>
        <v>0</v>
      </c>
    </row>
    <row r="277" spans="1:8" ht="22.5" customHeight="1">
      <c r="A277" s="160"/>
      <c r="B277" s="161"/>
      <c r="C277" s="161"/>
      <c r="D277" s="163">
        <f>IFERROR(AkquiseTracking[[#This Row],[Wählversuche]]/AkquiseTracking[[#This Row],[Gespräche mit Empfang]],0)</f>
        <v>0</v>
      </c>
      <c r="E277" s="161"/>
      <c r="F277" s="163">
        <f>IFERROR(AkquiseTracking[[#This Row],[Gespräche mit Entscheider]]/AkquiseTracking[[#This Row],[Gespräche mit Empfang]],0)</f>
        <v>0</v>
      </c>
      <c r="G277" s="161"/>
      <c r="H277" s="163">
        <f>IFERROR(AkquiseTracking[[#This Row],[Termine vereinbart]]/AkquiseTracking[[#This Row],[Gespräche mit Empfang]],0)</f>
        <v>0</v>
      </c>
    </row>
    <row r="278" spans="1:8" ht="22.5" customHeight="1">
      <c r="A278" s="160"/>
      <c r="B278" s="161"/>
      <c r="C278" s="161"/>
      <c r="D278" s="163">
        <f>IFERROR(AkquiseTracking[[#This Row],[Wählversuche]]/AkquiseTracking[[#This Row],[Gespräche mit Empfang]],0)</f>
        <v>0</v>
      </c>
      <c r="E278" s="161"/>
      <c r="F278" s="163">
        <f>IFERROR(AkquiseTracking[[#This Row],[Gespräche mit Entscheider]]/AkquiseTracking[[#This Row],[Gespräche mit Empfang]],0)</f>
        <v>0</v>
      </c>
      <c r="G278" s="161"/>
      <c r="H278" s="163">
        <f>IFERROR(AkquiseTracking[[#This Row],[Termine vereinbart]]/AkquiseTracking[[#This Row],[Gespräche mit Empfang]],0)</f>
        <v>0</v>
      </c>
    </row>
    <row r="279" spans="1:8" ht="22.5" customHeight="1">
      <c r="A279" s="160"/>
      <c r="B279" s="161"/>
      <c r="C279" s="161"/>
      <c r="D279" s="163">
        <f>IFERROR(AkquiseTracking[[#This Row],[Wählversuche]]/AkquiseTracking[[#This Row],[Gespräche mit Empfang]],0)</f>
        <v>0</v>
      </c>
      <c r="E279" s="161"/>
      <c r="F279" s="163">
        <f>IFERROR(AkquiseTracking[[#This Row],[Gespräche mit Entscheider]]/AkquiseTracking[[#This Row],[Gespräche mit Empfang]],0)</f>
        <v>0</v>
      </c>
      <c r="G279" s="161"/>
      <c r="H279" s="163">
        <f>IFERROR(AkquiseTracking[[#This Row],[Termine vereinbart]]/AkquiseTracking[[#This Row],[Gespräche mit Empfang]],0)</f>
        <v>0</v>
      </c>
    </row>
    <row r="280" spans="1:8" ht="22.5" customHeight="1">
      <c r="A280" s="160"/>
      <c r="B280" s="161"/>
      <c r="C280" s="161"/>
      <c r="D280" s="163">
        <f>IFERROR(AkquiseTracking[[#This Row],[Wählversuche]]/AkquiseTracking[[#This Row],[Gespräche mit Empfang]],0)</f>
        <v>0</v>
      </c>
      <c r="E280" s="161"/>
      <c r="F280" s="163">
        <f>IFERROR(AkquiseTracking[[#This Row],[Gespräche mit Entscheider]]/AkquiseTracking[[#This Row],[Gespräche mit Empfang]],0)</f>
        <v>0</v>
      </c>
      <c r="G280" s="161"/>
      <c r="H280" s="163">
        <f>IFERROR(AkquiseTracking[[#This Row],[Termine vereinbart]]/AkquiseTracking[[#This Row],[Gespräche mit Empfang]],0)</f>
        <v>0</v>
      </c>
    </row>
    <row r="281" spans="1:8" ht="22.5" customHeight="1">
      <c r="A281" s="160"/>
      <c r="B281" s="161"/>
      <c r="C281" s="161"/>
      <c r="D281" s="163">
        <f>IFERROR(AkquiseTracking[[#This Row],[Wählversuche]]/AkquiseTracking[[#This Row],[Gespräche mit Empfang]],0)</f>
        <v>0</v>
      </c>
      <c r="E281" s="161"/>
      <c r="F281" s="163">
        <f>IFERROR(AkquiseTracking[[#This Row],[Gespräche mit Entscheider]]/AkquiseTracking[[#This Row],[Gespräche mit Empfang]],0)</f>
        <v>0</v>
      </c>
      <c r="G281" s="161"/>
      <c r="H281" s="163">
        <f>IFERROR(AkquiseTracking[[#This Row],[Termine vereinbart]]/AkquiseTracking[[#This Row],[Gespräche mit Empfang]],0)</f>
        <v>0</v>
      </c>
    </row>
    <row r="282" spans="1:8" ht="22.5" customHeight="1">
      <c r="A282" s="160"/>
      <c r="B282" s="161"/>
      <c r="C282" s="161"/>
      <c r="D282" s="163">
        <f>IFERROR(AkquiseTracking[[#This Row],[Wählversuche]]/AkquiseTracking[[#This Row],[Gespräche mit Empfang]],0)</f>
        <v>0</v>
      </c>
      <c r="E282" s="161"/>
      <c r="F282" s="163">
        <f>IFERROR(AkquiseTracking[[#This Row],[Gespräche mit Entscheider]]/AkquiseTracking[[#This Row],[Gespräche mit Empfang]],0)</f>
        <v>0</v>
      </c>
      <c r="G282" s="161"/>
      <c r="H282" s="163">
        <f>IFERROR(AkquiseTracking[[#This Row],[Termine vereinbart]]/AkquiseTracking[[#This Row],[Gespräche mit Empfang]],0)</f>
        <v>0</v>
      </c>
    </row>
    <row r="283" spans="1:8" ht="22.5" customHeight="1">
      <c r="A283" s="160"/>
      <c r="B283" s="161"/>
      <c r="C283" s="161"/>
      <c r="D283" s="163">
        <f>IFERROR(AkquiseTracking[[#This Row],[Wählversuche]]/AkquiseTracking[[#This Row],[Gespräche mit Empfang]],0)</f>
        <v>0</v>
      </c>
      <c r="E283" s="161"/>
      <c r="F283" s="163">
        <f>IFERROR(AkquiseTracking[[#This Row],[Gespräche mit Entscheider]]/AkquiseTracking[[#This Row],[Gespräche mit Empfang]],0)</f>
        <v>0</v>
      </c>
      <c r="G283" s="161"/>
      <c r="H283" s="163">
        <f>IFERROR(AkquiseTracking[[#This Row],[Termine vereinbart]]/AkquiseTracking[[#This Row],[Gespräche mit Empfang]],0)</f>
        <v>0</v>
      </c>
    </row>
    <row r="284" spans="1:8" ht="22.5" customHeight="1">
      <c r="A284" s="160"/>
      <c r="B284" s="161"/>
      <c r="C284" s="161"/>
      <c r="D284" s="163">
        <f>IFERROR(AkquiseTracking[[#This Row],[Wählversuche]]/AkquiseTracking[[#This Row],[Gespräche mit Empfang]],0)</f>
        <v>0</v>
      </c>
      <c r="E284" s="161"/>
      <c r="F284" s="163">
        <f>IFERROR(AkquiseTracking[[#This Row],[Gespräche mit Entscheider]]/AkquiseTracking[[#This Row],[Gespräche mit Empfang]],0)</f>
        <v>0</v>
      </c>
      <c r="G284" s="161"/>
      <c r="H284" s="163">
        <f>IFERROR(AkquiseTracking[[#This Row],[Termine vereinbart]]/AkquiseTracking[[#This Row],[Gespräche mit Empfang]],0)</f>
        <v>0</v>
      </c>
    </row>
    <row r="285" spans="1:8" ht="22.5" customHeight="1">
      <c r="A285" s="160"/>
      <c r="B285" s="161"/>
      <c r="C285" s="161"/>
      <c r="D285" s="163">
        <f>IFERROR(AkquiseTracking[[#This Row],[Wählversuche]]/AkquiseTracking[[#This Row],[Gespräche mit Empfang]],0)</f>
        <v>0</v>
      </c>
      <c r="E285" s="161"/>
      <c r="F285" s="163">
        <f>IFERROR(AkquiseTracking[[#This Row],[Gespräche mit Entscheider]]/AkquiseTracking[[#This Row],[Gespräche mit Empfang]],0)</f>
        <v>0</v>
      </c>
      <c r="G285" s="161"/>
      <c r="H285" s="163">
        <f>IFERROR(AkquiseTracking[[#This Row],[Termine vereinbart]]/AkquiseTracking[[#This Row],[Gespräche mit Empfang]],0)</f>
        <v>0</v>
      </c>
    </row>
    <row r="286" spans="1:8" ht="22.5" customHeight="1">
      <c r="A286" s="160"/>
      <c r="B286" s="161"/>
      <c r="C286" s="161"/>
      <c r="D286" s="163">
        <f>IFERROR(AkquiseTracking[[#This Row],[Wählversuche]]/AkquiseTracking[[#This Row],[Gespräche mit Empfang]],0)</f>
        <v>0</v>
      </c>
      <c r="E286" s="161"/>
      <c r="F286" s="163">
        <f>IFERROR(AkquiseTracking[[#This Row],[Gespräche mit Entscheider]]/AkquiseTracking[[#This Row],[Gespräche mit Empfang]],0)</f>
        <v>0</v>
      </c>
      <c r="G286" s="161"/>
      <c r="H286" s="163">
        <f>IFERROR(AkquiseTracking[[#This Row],[Termine vereinbart]]/AkquiseTracking[[#This Row],[Gespräche mit Empfang]],0)</f>
        <v>0</v>
      </c>
    </row>
    <row r="287" spans="1:8" ht="22.5" customHeight="1">
      <c r="A287" s="160"/>
      <c r="B287" s="161"/>
      <c r="C287" s="161"/>
      <c r="D287" s="163">
        <f>IFERROR(AkquiseTracking[[#This Row],[Wählversuche]]/AkquiseTracking[[#This Row],[Gespräche mit Empfang]],0)</f>
        <v>0</v>
      </c>
      <c r="E287" s="161"/>
      <c r="F287" s="163">
        <f>IFERROR(AkquiseTracking[[#This Row],[Gespräche mit Entscheider]]/AkquiseTracking[[#This Row],[Gespräche mit Empfang]],0)</f>
        <v>0</v>
      </c>
      <c r="G287" s="161"/>
      <c r="H287" s="163">
        <f>IFERROR(AkquiseTracking[[#This Row],[Termine vereinbart]]/AkquiseTracking[[#This Row],[Gespräche mit Empfang]],0)</f>
        <v>0</v>
      </c>
    </row>
    <row r="288" spans="1:8" ht="22.5" customHeight="1">
      <c r="A288" s="160"/>
      <c r="B288" s="161"/>
      <c r="C288" s="161"/>
      <c r="D288" s="163">
        <f>IFERROR(AkquiseTracking[[#This Row],[Wählversuche]]/AkquiseTracking[[#This Row],[Gespräche mit Empfang]],0)</f>
        <v>0</v>
      </c>
      <c r="E288" s="161"/>
      <c r="F288" s="163">
        <f>IFERROR(AkquiseTracking[[#This Row],[Gespräche mit Entscheider]]/AkquiseTracking[[#This Row],[Gespräche mit Empfang]],0)</f>
        <v>0</v>
      </c>
      <c r="G288" s="161"/>
      <c r="H288" s="163">
        <f>IFERROR(AkquiseTracking[[#This Row],[Termine vereinbart]]/AkquiseTracking[[#This Row],[Gespräche mit Empfang]],0)</f>
        <v>0</v>
      </c>
    </row>
    <row r="289" spans="1:8" ht="22.5" customHeight="1">
      <c r="A289" s="160"/>
      <c r="B289" s="161"/>
      <c r="C289" s="161"/>
      <c r="D289" s="163">
        <f>IFERROR(AkquiseTracking[[#This Row],[Wählversuche]]/AkquiseTracking[[#This Row],[Gespräche mit Empfang]],0)</f>
        <v>0</v>
      </c>
      <c r="E289" s="161"/>
      <c r="F289" s="163">
        <f>IFERROR(AkquiseTracking[[#This Row],[Gespräche mit Entscheider]]/AkquiseTracking[[#This Row],[Gespräche mit Empfang]],0)</f>
        <v>0</v>
      </c>
      <c r="G289" s="161"/>
      <c r="H289" s="163">
        <f>IFERROR(AkquiseTracking[[#This Row],[Termine vereinbart]]/AkquiseTracking[[#This Row],[Gespräche mit Empfang]],0)</f>
        <v>0</v>
      </c>
    </row>
    <row r="290" spans="1:8" ht="22.5" customHeight="1">
      <c r="A290" s="160"/>
      <c r="B290" s="161"/>
      <c r="C290" s="161"/>
      <c r="D290" s="163">
        <f>IFERROR(AkquiseTracking[[#This Row],[Wählversuche]]/AkquiseTracking[[#This Row],[Gespräche mit Empfang]],0)</f>
        <v>0</v>
      </c>
      <c r="E290" s="161"/>
      <c r="F290" s="163">
        <f>IFERROR(AkquiseTracking[[#This Row],[Gespräche mit Entscheider]]/AkquiseTracking[[#This Row],[Gespräche mit Empfang]],0)</f>
        <v>0</v>
      </c>
      <c r="G290" s="161"/>
      <c r="H290" s="163">
        <f>IFERROR(AkquiseTracking[[#This Row],[Termine vereinbart]]/AkquiseTracking[[#This Row],[Gespräche mit Empfang]],0)</f>
        <v>0</v>
      </c>
    </row>
    <row r="291" spans="1:8" ht="22.5" customHeight="1">
      <c r="A291" s="160"/>
      <c r="B291" s="161"/>
      <c r="C291" s="161"/>
      <c r="D291" s="163">
        <f>IFERROR(AkquiseTracking[[#This Row],[Wählversuche]]/AkquiseTracking[[#This Row],[Gespräche mit Empfang]],0)</f>
        <v>0</v>
      </c>
      <c r="E291" s="161"/>
      <c r="F291" s="163">
        <f>IFERROR(AkquiseTracking[[#This Row],[Gespräche mit Entscheider]]/AkquiseTracking[[#This Row],[Gespräche mit Empfang]],0)</f>
        <v>0</v>
      </c>
      <c r="G291" s="161"/>
      <c r="H291" s="163">
        <f>IFERROR(AkquiseTracking[[#This Row],[Termine vereinbart]]/AkquiseTracking[[#This Row],[Gespräche mit Empfang]],0)</f>
        <v>0</v>
      </c>
    </row>
    <row r="292" spans="1:8" ht="22.5" customHeight="1">
      <c r="A292" s="160"/>
      <c r="B292" s="161"/>
      <c r="C292" s="161"/>
      <c r="D292" s="163">
        <f>IFERROR(AkquiseTracking[[#This Row],[Wählversuche]]/AkquiseTracking[[#This Row],[Gespräche mit Empfang]],0)</f>
        <v>0</v>
      </c>
      <c r="E292" s="161"/>
      <c r="F292" s="163">
        <f>IFERROR(AkquiseTracking[[#This Row],[Gespräche mit Entscheider]]/AkquiseTracking[[#This Row],[Gespräche mit Empfang]],0)</f>
        <v>0</v>
      </c>
      <c r="G292" s="161"/>
      <c r="H292" s="163">
        <f>IFERROR(AkquiseTracking[[#This Row],[Termine vereinbart]]/AkquiseTracking[[#This Row],[Gespräche mit Empfang]],0)</f>
        <v>0</v>
      </c>
    </row>
    <row r="293" spans="1:8" ht="22.5" customHeight="1">
      <c r="A293" s="160"/>
      <c r="B293" s="161"/>
      <c r="C293" s="161"/>
      <c r="D293" s="163">
        <f>IFERROR(AkquiseTracking[[#This Row],[Wählversuche]]/AkquiseTracking[[#This Row],[Gespräche mit Empfang]],0)</f>
        <v>0</v>
      </c>
      <c r="E293" s="161"/>
      <c r="F293" s="163">
        <f>IFERROR(AkquiseTracking[[#This Row],[Gespräche mit Entscheider]]/AkquiseTracking[[#This Row],[Gespräche mit Empfang]],0)</f>
        <v>0</v>
      </c>
      <c r="G293" s="161"/>
      <c r="H293" s="163">
        <f>IFERROR(AkquiseTracking[[#This Row],[Termine vereinbart]]/AkquiseTracking[[#This Row],[Gespräche mit Empfang]],0)</f>
        <v>0</v>
      </c>
    </row>
    <row r="294" spans="1:8" ht="22.5" customHeight="1">
      <c r="A294" s="160"/>
      <c r="B294" s="161"/>
      <c r="C294" s="161"/>
      <c r="D294" s="163">
        <f>IFERROR(AkquiseTracking[[#This Row],[Wählversuche]]/AkquiseTracking[[#This Row],[Gespräche mit Empfang]],0)</f>
        <v>0</v>
      </c>
      <c r="E294" s="161"/>
      <c r="F294" s="163">
        <f>IFERROR(AkquiseTracking[[#This Row],[Gespräche mit Entscheider]]/AkquiseTracking[[#This Row],[Gespräche mit Empfang]],0)</f>
        <v>0</v>
      </c>
      <c r="G294" s="161"/>
      <c r="H294" s="163">
        <f>IFERROR(AkquiseTracking[[#This Row],[Termine vereinbart]]/AkquiseTracking[[#This Row],[Gespräche mit Empfang]],0)</f>
        <v>0</v>
      </c>
    </row>
    <row r="295" spans="1:8" ht="22.5" customHeight="1">
      <c r="A295" s="160"/>
      <c r="B295" s="161"/>
      <c r="C295" s="161"/>
      <c r="D295" s="163">
        <f>IFERROR(AkquiseTracking[[#This Row],[Wählversuche]]/AkquiseTracking[[#This Row],[Gespräche mit Empfang]],0)</f>
        <v>0</v>
      </c>
      <c r="E295" s="161"/>
      <c r="F295" s="163">
        <f>IFERROR(AkquiseTracking[[#This Row],[Gespräche mit Entscheider]]/AkquiseTracking[[#This Row],[Gespräche mit Empfang]],0)</f>
        <v>0</v>
      </c>
      <c r="G295" s="161"/>
      <c r="H295" s="163">
        <f>IFERROR(AkquiseTracking[[#This Row],[Termine vereinbart]]/AkquiseTracking[[#This Row],[Gespräche mit Empfang]],0)</f>
        <v>0</v>
      </c>
    </row>
    <row r="296" spans="1:8" ht="22.5" customHeight="1">
      <c r="A296" s="160"/>
      <c r="B296" s="161"/>
      <c r="C296" s="161"/>
      <c r="D296" s="163">
        <f>IFERROR(AkquiseTracking[[#This Row],[Wählversuche]]/AkquiseTracking[[#This Row],[Gespräche mit Empfang]],0)</f>
        <v>0</v>
      </c>
      <c r="E296" s="161"/>
      <c r="F296" s="163">
        <f>IFERROR(AkquiseTracking[[#This Row],[Gespräche mit Entscheider]]/AkquiseTracking[[#This Row],[Gespräche mit Empfang]],0)</f>
        <v>0</v>
      </c>
      <c r="G296" s="161"/>
      <c r="H296" s="163">
        <f>IFERROR(AkquiseTracking[[#This Row],[Termine vereinbart]]/AkquiseTracking[[#This Row],[Gespräche mit Empfang]],0)</f>
        <v>0</v>
      </c>
    </row>
    <row r="297" spans="1:8" ht="22.5" customHeight="1">
      <c r="A297" s="160"/>
      <c r="B297" s="161"/>
      <c r="C297" s="161"/>
      <c r="D297" s="163">
        <f>IFERROR(AkquiseTracking[[#This Row],[Wählversuche]]/AkquiseTracking[[#This Row],[Gespräche mit Empfang]],0)</f>
        <v>0</v>
      </c>
      <c r="E297" s="161"/>
      <c r="F297" s="163">
        <f>IFERROR(AkquiseTracking[[#This Row],[Gespräche mit Entscheider]]/AkquiseTracking[[#This Row],[Gespräche mit Empfang]],0)</f>
        <v>0</v>
      </c>
      <c r="G297" s="161"/>
      <c r="H297" s="163">
        <f>IFERROR(AkquiseTracking[[#This Row],[Termine vereinbart]]/AkquiseTracking[[#This Row],[Gespräche mit Empfang]],0)</f>
        <v>0</v>
      </c>
    </row>
    <row r="298" spans="1:8" ht="22.5" customHeight="1">
      <c r="A298" s="160"/>
      <c r="B298" s="161"/>
      <c r="C298" s="161"/>
      <c r="D298" s="163">
        <f>IFERROR(AkquiseTracking[[#This Row],[Wählversuche]]/AkquiseTracking[[#This Row],[Gespräche mit Empfang]],0)</f>
        <v>0</v>
      </c>
      <c r="E298" s="161"/>
      <c r="F298" s="163">
        <f>IFERROR(AkquiseTracking[[#This Row],[Gespräche mit Entscheider]]/AkquiseTracking[[#This Row],[Gespräche mit Empfang]],0)</f>
        <v>0</v>
      </c>
      <c r="G298" s="161"/>
      <c r="H298" s="163">
        <f>IFERROR(AkquiseTracking[[#This Row],[Termine vereinbart]]/AkquiseTracking[[#This Row],[Gespräche mit Empfang]],0)</f>
        <v>0</v>
      </c>
    </row>
    <row r="299" spans="1:8" ht="22.5" customHeight="1">
      <c r="A299" s="160"/>
      <c r="B299" s="161"/>
      <c r="C299" s="161"/>
      <c r="D299" s="163">
        <f>IFERROR(AkquiseTracking[[#This Row],[Wählversuche]]/AkquiseTracking[[#This Row],[Gespräche mit Empfang]],0)</f>
        <v>0</v>
      </c>
      <c r="E299" s="161"/>
      <c r="F299" s="163">
        <f>IFERROR(AkquiseTracking[[#This Row],[Gespräche mit Entscheider]]/AkquiseTracking[[#This Row],[Gespräche mit Empfang]],0)</f>
        <v>0</v>
      </c>
      <c r="G299" s="161"/>
      <c r="H299" s="163">
        <f>IFERROR(AkquiseTracking[[#This Row],[Termine vereinbart]]/AkquiseTracking[[#This Row],[Gespräche mit Empfang]],0)</f>
        <v>0</v>
      </c>
    </row>
    <row r="300" spans="1:8" ht="22.5" customHeight="1">
      <c r="A300" s="160"/>
      <c r="B300" s="161"/>
      <c r="C300" s="161"/>
      <c r="D300" s="163">
        <f>IFERROR(AkquiseTracking[[#This Row],[Wählversuche]]/AkquiseTracking[[#This Row],[Gespräche mit Empfang]],0)</f>
        <v>0</v>
      </c>
      <c r="E300" s="161"/>
      <c r="F300" s="163">
        <f>IFERROR(AkquiseTracking[[#This Row],[Gespräche mit Entscheider]]/AkquiseTracking[[#This Row],[Gespräche mit Empfang]],0)</f>
        <v>0</v>
      </c>
      <c r="G300" s="161"/>
      <c r="H300" s="163">
        <f>IFERROR(AkquiseTracking[[#This Row],[Termine vereinbart]]/AkquiseTracking[[#This Row],[Gespräche mit Empfang]],0)</f>
        <v>0</v>
      </c>
    </row>
    <row r="301" spans="1:8" ht="22.5" customHeight="1">
      <c r="A301" s="160"/>
      <c r="B301" s="161"/>
      <c r="C301" s="161"/>
      <c r="D301" s="163">
        <f>IFERROR(AkquiseTracking[[#This Row],[Wählversuche]]/AkquiseTracking[[#This Row],[Gespräche mit Empfang]],0)</f>
        <v>0</v>
      </c>
      <c r="E301" s="161"/>
      <c r="F301" s="163">
        <f>IFERROR(AkquiseTracking[[#This Row],[Gespräche mit Entscheider]]/AkquiseTracking[[#This Row],[Gespräche mit Empfang]],0)</f>
        <v>0</v>
      </c>
      <c r="G301" s="161"/>
      <c r="H301" s="163">
        <f>IFERROR(AkquiseTracking[[#This Row],[Termine vereinbart]]/AkquiseTracking[[#This Row],[Gespräche mit Empfang]],0)</f>
        <v>0</v>
      </c>
    </row>
    <row r="302" spans="1:8" ht="22.5" customHeight="1">
      <c r="A302" s="160"/>
      <c r="B302" s="161"/>
      <c r="C302" s="161"/>
      <c r="D302" s="163">
        <f>IFERROR(AkquiseTracking[[#This Row],[Wählversuche]]/AkquiseTracking[[#This Row],[Gespräche mit Empfang]],0)</f>
        <v>0</v>
      </c>
      <c r="E302" s="161"/>
      <c r="F302" s="163">
        <f>IFERROR(AkquiseTracking[[#This Row],[Gespräche mit Entscheider]]/AkquiseTracking[[#This Row],[Gespräche mit Empfang]],0)</f>
        <v>0</v>
      </c>
      <c r="G302" s="161"/>
      <c r="H302" s="163">
        <f>IFERROR(AkquiseTracking[[#This Row],[Termine vereinbart]]/AkquiseTracking[[#This Row],[Gespräche mit Empfang]],0)</f>
        <v>0</v>
      </c>
    </row>
    <row r="303" spans="1:8" ht="22.5" customHeight="1">
      <c r="A303" s="160"/>
      <c r="B303" s="161"/>
      <c r="C303" s="161"/>
      <c r="D303" s="163">
        <f>IFERROR(AkquiseTracking[[#This Row],[Wählversuche]]/AkquiseTracking[[#This Row],[Gespräche mit Empfang]],0)</f>
        <v>0</v>
      </c>
      <c r="E303" s="161"/>
      <c r="F303" s="163">
        <f>IFERROR(AkquiseTracking[[#This Row],[Gespräche mit Entscheider]]/AkquiseTracking[[#This Row],[Gespräche mit Empfang]],0)</f>
        <v>0</v>
      </c>
      <c r="G303" s="161"/>
      <c r="H303" s="163">
        <f>IFERROR(AkquiseTracking[[#This Row],[Termine vereinbart]]/AkquiseTracking[[#This Row],[Gespräche mit Empfang]],0)</f>
        <v>0</v>
      </c>
    </row>
    <row r="304" spans="1:8" ht="22.5" customHeight="1">
      <c r="A304" s="160"/>
      <c r="B304" s="161"/>
      <c r="C304" s="161"/>
      <c r="D304" s="163">
        <f>IFERROR(AkquiseTracking[[#This Row],[Wählversuche]]/AkquiseTracking[[#This Row],[Gespräche mit Empfang]],0)</f>
        <v>0</v>
      </c>
      <c r="E304" s="161"/>
      <c r="F304" s="163">
        <f>IFERROR(AkquiseTracking[[#This Row],[Gespräche mit Entscheider]]/AkquiseTracking[[#This Row],[Gespräche mit Empfang]],0)</f>
        <v>0</v>
      </c>
      <c r="G304" s="161"/>
      <c r="H304" s="163">
        <f>IFERROR(AkquiseTracking[[#This Row],[Termine vereinbart]]/AkquiseTracking[[#This Row],[Gespräche mit Empfang]],0)</f>
        <v>0</v>
      </c>
    </row>
    <row r="305" spans="1:8" ht="22.5" customHeight="1">
      <c r="A305" s="160"/>
      <c r="B305" s="161"/>
      <c r="C305" s="161"/>
      <c r="D305" s="163">
        <f>IFERROR(AkquiseTracking[[#This Row],[Wählversuche]]/AkquiseTracking[[#This Row],[Gespräche mit Empfang]],0)</f>
        <v>0</v>
      </c>
      <c r="E305" s="161"/>
      <c r="F305" s="163">
        <f>IFERROR(AkquiseTracking[[#This Row],[Gespräche mit Entscheider]]/AkquiseTracking[[#This Row],[Gespräche mit Empfang]],0)</f>
        <v>0</v>
      </c>
      <c r="G305" s="161"/>
      <c r="H305" s="163">
        <f>IFERROR(AkquiseTracking[[#This Row],[Termine vereinbart]]/AkquiseTracking[[#This Row],[Gespräche mit Empfang]],0)</f>
        <v>0</v>
      </c>
    </row>
    <row r="306" spans="1:8" ht="22.5" customHeight="1">
      <c r="A306" s="160"/>
      <c r="B306" s="161"/>
      <c r="C306" s="161"/>
      <c r="D306" s="163">
        <f>IFERROR(AkquiseTracking[[#This Row],[Wählversuche]]/AkquiseTracking[[#This Row],[Gespräche mit Empfang]],0)</f>
        <v>0</v>
      </c>
      <c r="E306" s="161"/>
      <c r="F306" s="163">
        <f>IFERROR(AkquiseTracking[[#This Row],[Gespräche mit Entscheider]]/AkquiseTracking[[#This Row],[Gespräche mit Empfang]],0)</f>
        <v>0</v>
      </c>
      <c r="G306" s="161"/>
      <c r="H306" s="163">
        <f>IFERROR(AkquiseTracking[[#This Row],[Termine vereinbart]]/AkquiseTracking[[#This Row],[Gespräche mit Empfang]],0)</f>
        <v>0</v>
      </c>
    </row>
    <row r="307" spans="1:8" ht="22.5" customHeight="1">
      <c r="A307" s="160"/>
      <c r="B307" s="161"/>
      <c r="C307" s="161"/>
      <c r="D307" s="163">
        <f>IFERROR(AkquiseTracking[[#This Row],[Wählversuche]]/AkquiseTracking[[#This Row],[Gespräche mit Empfang]],0)</f>
        <v>0</v>
      </c>
      <c r="E307" s="161"/>
      <c r="F307" s="163">
        <f>IFERROR(AkquiseTracking[[#This Row],[Gespräche mit Entscheider]]/AkquiseTracking[[#This Row],[Gespräche mit Empfang]],0)</f>
        <v>0</v>
      </c>
      <c r="G307" s="161"/>
      <c r="H307" s="163">
        <f>IFERROR(AkquiseTracking[[#This Row],[Termine vereinbart]]/AkquiseTracking[[#This Row],[Gespräche mit Empfang]],0)</f>
        <v>0</v>
      </c>
    </row>
    <row r="308" spans="1:8" ht="22.5" customHeight="1">
      <c r="A308" s="160"/>
      <c r="B308" s="161"/>
      <c r="C308" s="161"/>
      <c r="D308" s="163">
        <f>IFERROR(AkquiseTracking[[#This Row],[Wählversuche]]/AkquiseTracking[[#This Row],[Gespräche mit Empfang]],0)</f>
        <v>0</v>
      </c>
      <c r="E308" s="161"/>
      <c r="F308" s="163">
        <f>IFERROR(AkquiseTracking[[#This Row],[Gespräche mit Entscheider]]/AkquiseTracking[[#This Row],[Gespräche mit Empfang]],0)</f>
        <v>0</v>
      </c>
      <c r="G308" s="161"/>
      <c r="H308" s="163">
        <f>IFERROR(AkquiseTracking[[#This Row],[Termine vereinbart]]/AkquiseTracking[[#This Row],[Gespräche mit Empfang]],0)</f>
        <v>0</v>
      </c>
    </row>
    <row r="309" spans="1:8" ht="22.5" customHeight="1">
      <c r="A309" s="160"/>
      <c r="B309" s="161"/>
      <c r="C309" s="161"/>
      <c r="D309" s="163">
        <f>IFERROR(AkquiseTracking[[#This Row],[Wählversuche]]/AkquiseTracking[[#This Row],[Gespräche mit Empfang]],0)</f>
        <v>0</v>
      </c>
      <c r="E309" s="161"/>
      <c r="F309" s="163">
        <f>IFERROR(AkquiseTracking[[#This Row],[Gespräche mit Entscheider]]/AkquiseTracking[[#This Row],[Gespräche mit Empfang]],0)</f>
        <v>0</v>
      </c>
      <c r="G309" s="161"/>
      <c r="H309" s="163">
        <f>IFERROR(AkquiseTracking[[#This Row],[Termine vereinbart]]/AkquiseTracking[[#This Row],[Gespräche mit Empfang]],0)</f>
        <v>0</v>
      </c>
    </row>
    <row r="310" spans="1:8" ht="22.5" customHeight="1">
      <c r="A310" s="160"/>
      <c r="B310" s="161"/>
      <c r="C310" s="161"/>
      <c r="D310" s="163">
        <f>IFERROR(AkquiseTracking[[#This Row],[Wählversuche]]/AkquiseTracking[[#This Row],[Gespräche mit Empfang]],0)</f>
        <v>0</v>
      </c>
      <c r="E310" s="161"/>
      <c r="F310" s="163">
        <f>IFERROR(AkquiseTracking[[#This Row],[Gespräche mit Entscheider]]/AkquiseTracking[[#This Row],[Gespräche mit Empfang]],0)</f>
        <v>0</v>
      </c>
      <c r="G310" s="161"/>
      <c r="H310" s="163">
        <f>IFERROR(AkquiseTracking[[#This Row],[Termine vereinbart]]/AkquiseTracking[[#This Row],[Gespräche mit Empfang]],0)</f>
        <v>0</v>
      </c>
    </row>
    <row r="311" spans="1:8" ht="22.5" customHeight="1">
      <c r="A311" s="160"/>
      <c r="B311" s="161"/>
      <c r="C311" s="161"/>
      <c r="D311" s="163">
        <f>IFERROR(AkquiseTracking[[#This Row],[Wählversuche]]/AkquiseTracking[[#This Row],[Gespräche mit Empfang]],0)</f>
        <v>0</v>
      </c>
      <c r="E311" s="161"/>
      <c r="F311" s="163">
        <f>IFERROR(AkquiseTracking[[#This Row],[Gespräche mit Entscheider]]/AkquiseTracking[[#This Row],[Gespräche mit Empfang]],0)</f>
        <v>0</v>
      </c>
      <c r="G311" s="161"/>
      <c r="H311" s="163">
        <f>IFERROR(AkquiseTracking[[#This Row],[Termine vereinbart]]/AkquiseTracking[[#This Row],[Gespräche mit Empfang]],0)</f>
        <v>0</v>
      </c>
    </row>
    <row r="312" spans="1:8" ht="22.5" customHeight="1">
      <c r="A312" s="160"/>
      <c r="B312" s="161"/>
      <c r="C312" s="161"/>
      <c r="D312" s="163">
        <f>IFERROR(AkquiseTracking[[#This Row],[Wählversuche]]/AkquiseTracking[[#This Row],[Gespräche mit Empfang]],0)</f>
        <v>0</v>
      </c>
      <c r="E312" s="161"/>
      <c r="F312" s="163">
        <f>IFERROR(AkquiseTracking[[#This Row],[Gespräche mit Entscheider]]/AkquiseTracking[[#This Row],[Gespräche mit Empfang]],0)</f>
        <v>0</v>
      </c>
      <c r="G312" s="161"/>
      <c r="H312" s="163">
        <f>IFERROR(AkquiseTracking[[#This Row],[Termine vereinbart]]/AkquiseTracking[[#This Row],[Gespräche mit Empfang]],0)</f>
        <v>0</v>
      </c>
    </row>
    <row r="313" spans="1:8" ht="22.5" customHeight="1">
      <c r="A313" s="160"/>
      <c r="B313" s="161"/>
      <c r="C313" s="161"/>
      <c r="D313" s="163">
        <f>IFERROR(AkquiseTracking[[#This Row],[Wählversuche]]/AkquiseTracking[[#This Row],[Gespräche mit Empfang]],0)</f>
        <v>0</v>
      </c>
      <c r="E313" s="161"/>
      <c r="F313" s="163">
        <f>IFERROR(AkquiseTracking[[#This Row],[Gespräche mit Entscheider]]/AkquiseTracking[[#This Row],[Gespräche mit Empfang]],0)</f>
        <v>0</v>
      </c>
      <c r="G313" s="161"/>
      <c r="H313" s="163">
        <f>IFERROR(AkquiseTracking[[#This Row],[Termine vereinbart]]/AkquiseTracking[[#This Row],[Gespräche mit Empfang]],0)</f>
        <v>0</v>
      </c>
    </row>
    <row r="314" spans="1:8" ht="22.5" customHeight="1">
      <c r="A314" s="160"/>
      <c r="B314" s="161"/>
      <c r="C314" s="161"/>
      <c r="D314" s="163">
        <f>IFERROR(AkquiseTracking[[#This Row],[Wählversuche]]/AkquiseTracking[[#This Row],[Gespräche mit Empfang]],0)</f>
        <v>0</v>
      </c>
      <c r="E314" s="161"/>
      <c r="F314" s="163">
        <f>IFERROR(AkquiseTracking[[#This Row],[Gespräche mit Entscheider]]/AkquiseTracking[[#This Row],[Gespräche mit Empfang]],0)</f>
        <v>0</v>
      </c>
      <c r="G314" s="161"/>
      <c r="H314" s="163">
        <f>IFERROR(AkquiseTracking[[#This Row],[Termine vereinbart]]/AkquiseTracking[[#This Row],[Gespräche mit Empfang]],0)</f>
        <v>0</v>
      </c>
    </row>
    <row r="315" spans="1:8" ht="22.5" customHeight="1">
      <c r="A315" s="160"/>
      <c r="B315" s="161"/>
      <c r="C315" s="161"/>
      <c r="D315" s="163">
        <f>IFERROR(AkquiseTracking[[#This Row],[Wählversuche]]/AkquiseTracking[[#This Row],[Gespräche mit Empfang]],0)</f>
        <v>0</v>
      </c>
      <c r="E315" s="161"/>
      <c r="F315" s="163">
        <f>IFERROR(AkquiseTracking[[#This Row],[Gespräche mit Entscheider]]/AkquiseTracking[[#This Row],[Gespräche mit Empfang]],0)</f>
        <v>0</v>
      </c>
      <c r="G315" s="161"/>
      <c r="H315" s="163">
        <f>IFERROR(AkquiseTracking[[#This Row],[Termine vereinbart]]/AkquiseTracking[[#This Row],[Gespräche mit Empfang]],0)</f>
        <v>0</v>
      </c>
    </row>
    <row r="316" spans="1:8" ht="22.5" customHeight="1">
      <c r="A316" s="160"/>
      <c r="B316" s="161"/>
      <c r="C316" s="161"/>
      <c r="D316" s="163">
        <f>IFERROR(AkquiseTracking[[#This Row],[Wählversuche]]/AkquiseTracking[[#This Row],[Gespräche mit Empfang]],0)</f>
        <v>0</v>
      </c>
      <c r="E316" s="161"/>
      <c r="F316" s="163">
        <f>IFERROR(AkquiseTracking[[#This Row],[Gespräche mit Entscheider]]/AkquiseTracking[[#This Row],[Gespräche mit Empfang]],0)</f>
        <v>0</v>
      </c>
      <c r="G316" s="161"/>
      <c r="H316" s="163">
        <f>IFERROR(AkquiseTracking[[#This Row],[Termine vereinbart]]/AkquiseTracking[[#This Row],[Gespräche mit Empfang]],0)</f>
        <v>0</v>
      </c>
    </row>
    <row r="317" spans="1:8" ht="22.5" customHeight="1">
      <c r="A317" s="160"/>
      <c r="B317" s="161"/>
      <c r="C317" s="161"/>
      <c r="D317" s="163">
        <f>IFERROR(AkquiseTracking[[#This Row],[Wählversuche]]/AkquiseTracking[[#This Row],[Gespräche mit Empfang]],0)</f>
        <v>0</v>
      </c>
      <c r="E317" s="161"/>
      <c r="F317" s="163">
        <f>IFERROR(AkquiseTracking[[#This Row],[Gespräche mit Entscheider]]/AkquiseTracking[[#This Row],[Gespräche mit Empfang]],0)</f>
        <v>0</v>
      </c>
      <c r="G317" s="161"/>
      <c r="H317" s="163">
        <f>IFERROR(AkquiseTracking[[#This Row],[Termine vereinbart]]/AkquiseTracking[[#This Row],[Gespräche mit Empfang]],0)</f>
        <v>0</v>
      </c>
    </row>
    <row r="318" spans="1:8" ht="22.5" customHeight="1">
      <c r="A318" s="160"/>
      <c r="B318" s="161"/>
      <c r="C318" s="161"/>
      <c r="D318" s="163">
        <f>IFERROR(AkquiseTracking[[#This Row],[Wählversuche]]/AkquiseTracking[[#This Row],[Gespräche mit Empfang]],0)</f>
        <v>0</v>
      </c>
      <c r="E318" s="161"/>
      <c r="F318" s="163">
        <f>IFERROR(AkquiseTracking[[#This Row],[Gespräche mit Entscheider]]/AkquiseTracking[[#This Row],[Gespräche mit Empfang]],0)</f>
        <v>0</v>
      </c>
      <c r="G318" s="161"/>
      <c r="H318" s="163">
        <f>IFERROR(AkquiseTracking[[#This Row],[Termine vereinbart]]/AkquiseTracking[[#This Row],[Gespräche mit Empfang]],0)</f>
        <v>0</v>
      </c>
    </row>
    <row r="319" spans="1:8" ht="22.5" customHeight="1">
      <c r="A319" s="160"/>
      <c r="B319" s="161"/>
      <c r="C319" s="161"/>
      <c r="D319" s="163">
        <f>IFERROR(AkquiseTracking[[#This Row],[Wählversuche]]/AkquiseTracking[[#This Row],[Gespräche mit Empfang]],0)</f>
        <v>0</v>
      </c>
      <c r="E319" s="161"/>
      <c r="F319" s="163">
        <f>IFERROR(AkquiseTracking[[#This Row],[Gespräche mit Entscheider]]/AkquiseTracking[[#This Row],[Gespräche mit Empfang]],0)</f>
        <v>0</v>
      </c>
      <c r="G319" s="161"/>
      <c r="H319" s="163">
        <f>IFERROR(AkquiseTracking[[#This Row],[Termine vereinbart]]/AkquiseTracking[[#This Row],[Gespräche mit Empfang]],0)</f>
        <v>0</v>
      </c>
    </row>
    <row r="320" spans="1:8" ht="22.5" customHeight="1">
      <c r="A320" s="160"/>
      <c r="B320" s="161"/>
      <c r="C320" s="161"/>
      <c r="D320" s="163">
        <f>IFERROR(AkquiseTracking[[#This Row],[Wählversuche]]/AkquiseTracking[[#This Row],[Gespräche mit Empfang]],0)</f>
        <v>0</v>
      </c>
      <c r="E320" s="161"/>
      <c r="F320" s="163">
        <f>IFERROR(AkquiseTracking[[#This Row],[Gespräche mit Entscheider]]/AkquiseTracking[[#This Row],[Gespräche mit Empfang]],0)</f>
        <v>0</v>
      </c>
      <c r="G320" s="161"/>
      <c r="H320" s="163">
        <f>IFERROR(AkquiseTracking[[#This Row],[Termine vereinbart]]/AkquiseTracking[[#This Row],[Gespräche mit Empfang]],0)</f>
        <v>0</v>
      </c>
    </row>
    <row r="321" spans="1:8" ht="22.5" customHeight="1">
      <c r="A321" s="160"/>
      <c r="B321" s="161"/>
      <c r="C321" s="161"/>
      <c r="D321" s="163">
        <f>IFERROR(AkquiseTracking[[#This Row],[Wählversuche]]/AkquiseTracking[[#This Row],[Gespräche mit Empfang]],0)</f>
        <v>0</v>
      </c>
      <c r="E321" s="161"/>
      <c r="F321" s="163">
        <f>IFERROR(AkquiseTracking[[#This Row],[Gespräche mit Entscheider]]/AkquiseTracking[[#This Row],[Gespräche mit Empfang]],0)</f>
        <v>0</v>
      </c>
      <c r="G321" s="161"/>
      <c r="H321" s="163">
        <f>IFERROR(AkquiseTracking[[#This Row],[Termine vereinbart]]/AkquiseTracking[[#This Row],[Gespräche mit Empfang]],0)</f>
        <v>0</v>
      </c>
    </row>
    <row r="322" spans="1:8" ht="22.5" customHeight="1">
      <c r="A322" s="160"/>
      <c r="B322" s="161"/>
      <c r="C322" s="161"/>
      <c r="D322" s="163">
        <f>IFERROR(AkquiseTracking[[#This Row],[Wählversuche]]/AkquiseTracking[[#This Row],[Gespräche mit Empfang]],0)</f>
        <v>0</v>
      </c>
      <c r="E322" s="161"/>
      <c r="F322" s="163">
        <f>IFERROR(AkquiseTracking[[#This Row],[Gespräche mit Entscheider]]/AkquiseTracking[[#This Row],[Gespräche mit Empfang]],0)</f>
        <v>0</v>
      </c>
      <c r="G322" s="161"/>
      <c r="H322" s="163">
        <f>IFERROR(AkquiseTracking[[#This Row],[Termine vereinbart]]/AkquiseTracking[[#This Row],[Gespräche mit Empfang]],0)</f>
        <v>0</v>
      </c>
    </row>
    <row r="323" spans="1:8" ht="22.5" customHeight="1">
      <c r="A323" s="160"/>
      <c r="B323" s="161"/>
      <c r="C323" s="161"/>
      <c r="D323" s="163">
        <f>IFERROR(AkquiseTracking[[#This Row],[Wählversuche]]/AkquiseTracking[[#This Row],[Gespräche mit Empfang]],0)</f>
        <v>0</v>
      </c>
      <c r="E323" s="161"/>
      <c r="F323" s="163">
        <f>IFERROR(AkquiseTracking[[#This Row],[Gespräche mit Entscheider]]/AkquiseTracking[[#This Row],[Gespräche mit Empfang]],0)</f>
        <v>0</v>
      </c>
      <c r="G323" s="161"/>
      <c r="H323" s="163">
        <f>IFERROR(AkquiseTracking[[#This Row],[Termine vereinbart]]/AkquiseTracking[[#This Row],[Gespräche mit Empfang]],0)</f>
        <v>0</v>
      </c>
    </row>
    <row r="324" spans="1:8" ht="22.5" customHeight="1">
      <c r="A324" s="160"/>
      <c r="B324" s="161"/>
      <c r="C324" s="161"/>
      <c r="D324" s="163">
        <f>IFERROR(AkquiseTracking[[#This Row],[Wählversuche]]/AkquiseTracking[[#This Row],[Gespräche mit Empfang]],0)</f>
        <v>0</v>
      </c>
      <c r="E324" s="161"/>
      <c r="F324" s="163">
        <f>IFERROR(AkquiseTracking[[#This Row],[Gespräche mit Entscheider]]/AkquiseTracking[[#This Row],[Gespräche mit Empfang]],0)</f>
        <v>0</v>
      </c>
      <c r="G324" s="161"/>
      <c r="H324" s="163">
        <f>IFERROR(AkquiseTracking[[#This Row],[Termine vereinbart]]/AkquiseTracking[[#This Row],[Gespräche mit Empfang]],0)</f>
        <v>0</v>
      </c>
    </row>
    <row r="325" spans="1:8" ht="22.5" customHeight="1">
      <c r="A325" s="160"/>
      <c r="B325" s="161"/>
      <c r="C325" s="161"/>
      <c r="D325" s="163">
        <f>IFERROR(AkquiseTracking[[#This Row],[Wählversuche]]/AkquiseTracking[[#This Row],[Gespräche mit Empfang]],0)</f>
        <v>0</v>
      </c>
      <c r="E325" s="161"/>
      <c r="F325" s="163">
        <f>IFERROR(AkquiseTracking[[#This Row],[Gespräche mit Entscheider]]/AkquiseTracking[[#This Row],[Gespräche mit Empfang]],0)</f>
        <v>0</v>
      </c>
      <c r="G325" s="161"/>
      <c r="H325" s="163">
        <f>IFERROR(AkquiseTracking[[#This Row],[Termine vereinbart]]/AkquiseTracking[[#This Row],[Gespräche mit Empfang]],0)</f>
        <v>0</v>
      </c>
    </row>
    <row r="326" spans="1:8" ht="22.5" customHeight="1">
      <c r="A326" s="160"/>
      <c r="B326" s="161"/>
      <c r="C326" s="161"/>
      <c r="D326" s="163">
        <f>IFERROR(AkquiseTracking[[#This Row],[Wählversuche]]/AkquiseTracking[[#This Row],[Gespräche mit Empfang]],0)</f>
        <v>0</v>
      </c>
      <c r="E326" s="161"/>
      <c r="F326" s="163">
        <f>IFERROR(AkquiseTracking[[#This Row],[Gespräche mit Entscheider]]/AkquiseTracking[[#This Row],[Gespräche mit Empfang]],0)</f>
        <v>0</v>
      </c>
      <c r="G326" s="161"/>
      <c r="H326" s="163">
        <f>IFERROR(AkquiseTracking[[#This Row],[Termine vereinbart]]/AkquiseTracking[[#This Row],[Gespräche mit Empfang]],0)</f>
        <v>0</v>
      </c>
    </row>
    <row r="327" spans="1:8" ht="22.5" customHeight="1">
      <c r="A327" s="160"/>
      <c r="B327" s="161"/>
      <c r="C327" s="161"/>
      <c r="D327" s="163">
        <f>IFERROR(AkquiseTracking[[#This Row],[Wählversuche]]/AkquiseTracking[[#This Row],[Gespräche mit Empfang]],0)</f>
        <v>0</v>
      </c>
      <c r="E327" s="161"/>
      <c r="F327" s="163">
        <f>IFERROR(AkquiseTracking[[#This Row],[Gespräche mit Entscheider]]/AkquiseTracking[[#This Row],[Gespräche mit Empfang]],0)</f>
        <v>0</v>
      </c>
      <c r="G327" s="161"/>
      <c r="H327" s="163">
        <f>IFERROR(AkquiseTracking[[#This Row],[Termine vereinbart]]/AkquiseTracking[[#This Row],[Gespräche mit Empfang]],0)</f>
        <v>0</v>
      </c>
    </row>
    <row r="328" spans="1:8" ht="22.5" customHeight="1">
      <c r="A328" s="160"/>
      <c r="B328" s="161"/>
      <c r="C328" s="161"/>
      <c r="D328" s="163">
        <f>IFERROR(AkquiseTracking[[#This Row],[Wählversuche]]/AkquiseTracking[[#This Row],[Gespräche mit Empfang]],0)</f>
        <v>0</v>
      </c>
      <c r="E328" s="161"/>
      <c r="F328" s="163">
        <f>IFERROR(AkquiseTracking[[#This Row],[Gespräche mit Entscheider]]/AkquiseTracking[[#This Row],[Gespräche mit Empfang]],0)</f>
        <v>0</v>
      </c>
      <c r="G328" s="161"/>
      <c r="H328" s="163">
        <f>IFERROR(AkquiseTracking[[#This Row],[Termine vereinbart]]/AkquiseTracking[[#This Row],[Gespräche mit Empfang]],0)</f>
        <v>0</v>
      </c>
    </row>
    <row r="329" spans="1:8" ht="22.5" customHeight="1">
      <c r="A329" s="160"/>
      <c r="B329" s="161"/>
      <c r="C329" s="161"/>
      <c r="D329" s="163">
        <f>IFERROR(AkquiseTracking[[#This Row],[Wählversuche]]/AkquiseTracking[[#This Row],[Gespräche mit Empfang]],0)</f>
        <v>0</v>
      </c>
      <c r="E329" s="161"/>
      <c r="F329" s="163">
        <f>IFERROR(AkquiseTracking[[#This Row],[Gespräche mit Entscheider]]/AkquiseTracking[[#This Row],[Gespräche mit Empfang]],0)</f>
        <v>0</v>
      </c>
      <c r="G329" s="161"/>
      <c r="H329" s="163">
        <f>IFERROR(AkquiseTracking[[#This Row],[Termine vereinbart]]/AkquiseTracking[[#This Row],[Gespräche mit Empfang]],0)</f>
        <v>0</v>
      </c>
    </row>
    <row r="330" spans="1:8" ht="22.5" customHeight="1">
      <c r="A330" s="160"/>
      <c r="B330" s="161"/>
      <c r="C330" s="161"/>
      <c r="D330" s="163">
        <f>IFERROR(AkquiseTracking[[#This Row],[Wählversuche]]/AkquiseTracking[[#This Row],[Gespräche mit Empfang]],0)</f>
        <v>0</v>
      </c>
      <c r="E330" s="161"/>
      <c r="F330" s="163">
        <f>IFERROR(AkquiseTracking[[#This Row],[Gespräche mit Entscheider]]/AkquiseTracking[[#This Row],[Gespräche mit Empfang]],0)</f>
        <v>0</v>
      </c>
      <c r="G330" s="161"/>
      <c r="H330" s="163">
        <f>IFERROR(AkquiseTracking[[#This Row],[Termine vereinbart]]/AkquiseTracking[[#This Row],[Gespräche mit Empfang]],0)</f>
        <v>0</v>
      </c>
    </row>
    <row r="331" spans="1:8" ht="22.5" customHeight="1">
      <c r="A331" s="160"/>
      <c r="B331" s="161"/>
      <c r="C331" s="161"/>
      <c r="D331" s="163">
        <f>IFERROR(AkquiseTracking[[#This Row],[Wählversuche]]/AkquiseTracking[[#This Row],[Gespräche mit Empfang]],0)</f>
        <v>0</v>
      </c>
      <c r="E331" s="161"/>
      <c r="F331" s="163">
        <f>IFERROR(AkquiseTracking[[#This Row],[Gespräche mit Entscheider]]/AkquiseTracking[[#This Row],[Gespräche mit Empfang]],0)</f>
        <v>0</v>
      </c>
      <c r="G331" s="161"/>
      <c r="H331" s="163">
        <f>IFERROR(AkquiseTracking[[#This Row],[Termine vereinbart]]/AkquiseTracking[[#This Row],[Gespräche mit Empfang]],0)</f>
        <v>0</v>
      </c>
    </row>
    <row r="332" spans="1:8" ht="22.5" customHeight="1">
      <c r="A332" s="160"/>
      <c r="B332" s="161"/>
      <c r="C332" s="161"/>
      <c r="D332" s="163">
        <f>IFERROR(AkquiseTracking[[#This Row],[Wählversuche]]/AkquiseTracking[[#This Row],[Gespräche mit Empfang]],0)</f>
        <v>0</v>
      </c>
      <c r="E332" s="161"/>
      <c r="F332" s="163">
        <f>IFERROR(AkquiseTracking[[#This Row],[Gespräche mit Entscheider]]/AkquiseTracking[[#This Row],[Gespräche mit Empfang]],0)</f>
        <v>0</v>
      </c>
      <c r="G332" s="161"/>
      <c r="H332" s="163">
        <f>IFERROR(AkquiseTracking[[#This Row],[Termine vereinbart]]/AkquiseTracking[[#This Row],[Gespräche mit Empfang]],0)</f>
        <v>0</v>
      </c>
    </row>
    <row r="333" spans="1:8" ht="22.5" customHeight="1">
      <c r="A333" s="160"/>
      <c r="B333" s="161"/>
      <c r="C333" s="161"/>
      <c r="D333" s="163">
        <f>IFERROR(AkquiseTracking[[#This Row],[Wählversuche]]/AkquiseTracking[[#This Row],[Gespräche mit Empfang]],0)</f>
        <v>0</v>
      </c>
      <c r="E333" s="161"/>
      <c r="F333" s="163">
        <f>IFERROR(AkquiseTracking[[#This Row],[Gespräche mit Entscheider]]/AkquiseTracking[[#This Row],[Gespräche mit Empfang]],0)</f>
        <v>0</v>
      </c>
      <c r="G333" s="161"/>
      <c r="H333" s="163">
        <f>IFERROR(AkquiseTracking[[#This Row],[Termine vereinbart]]/AkquiseTracking[[#This Row],[Gespräche mit Empfang]],0)</f>
        <v>0</v>
      </c>
    </row>
    <row r="334" spans="1:8" ht="22.5" customHeight="1">
      <c r="A334" s="160"/>
      <c r="B334" s="161"/>
      <c r="C334" s="161"/>
      <c r="D334" s="163">
        <f>IFERROR(AkquiseTracking[[#This Row],[Wählversuche]]/AkquiseTracking[[#This Row],[Gespräche mit Empfang]],0)</f>
        <v>0</v>
      </c>
      <c r="E334" s="161"/>
      <c r="F334" s="163">
        <f>IFERROR(AkquiseTracking[[#This Row],[Gespräche mit Entscheider]]/AkquiseTracking[[#This Row],[Gespräche mit Empfang]],0)</f>
        <v>0</v>
      </c>
      <c r="G334" s="161"/>
      <c r="H334" s="163">
        <f>IFERROR(AkquiseTracking[[#This Row],[Termine vereinbart]]/AkquiseTracking[[#This Row],[Gespräche mit Empfang]],0)</f>
        <v>0</v>
      </c>
    </row>
    <row r="335" spans="1:8" ht="22.5" customHeight="1">
      <c r="A335" s="160"/>
      <c r="B335" s="161"/>
      <c r="C335" s="161"/>
      <c r="D335" s="163">
        <f>IFERROR(AkquiseTracking[[#This Row],[Wählversuche]]/AkquiseTracking[[#This Row],[Gespräche mit Empfang]],0)</f>
        <v>0</v>
      </c>
      <c r="E335" s="161"/>
      <c r="F335" s="163">
        <f>IFERROR(AkquiseTracking[[#This Row],[Gespräche mit Entscheider]]/AkquiseTracking[[#This Row],[Gespräche mit Empfang]],0)</f>
        <v>0</v>
      </c>
      <c r="G335" s="161"/>
      <c r="H335" s="163">
        <f>IFERROR(AkquiseTracking[[#This Row],[Termine vereinbart]]/AkquiseTracking[[#This Row],[Gespräche mit Empfang]],0)</f>
        <v>0</v>
      </c>
    </row>
    <row r="336" spans="1:8" ht="22.5" customHeight="1">
      <c r="A336" s="160"/>
      <c r="B336" s="161"/>
      <c r="C336" s="161"/>
      <c r="D336" s="163">
        <f>IFERROR(AkquiseTracking[[#This Row],[Wählversuche]]/AkquiseTracking[[#This Row],[Gespräche mit Empfang]],0)</f>
        <v>0</v>
      </c>
      <c r="E336" s="161"/>
      <c r="F336" s="163">
        <f>IFERROR(AkquiseTracking[[#This Row],[Gespräche mit Entscheider]]/AkquiseTracking[[#This Row],[Gespräche mit Empfang]],0)</f>
        <v>0</v>
      </c>
      <c r="G336" s="161"/>
      <c r="H336" s="163">
        <f>IFERROR(AkquiseTracking[[#This Row],[Termine vereinbart]]/AkquiseTracking[[#This Row],[Gespräche mit Empfang]],0)</f>
        <v>0</v>
      </c>
    </row>
    <row r="337" spans="1:8" ht="22.5" customHeight="1">
      <c r="A337" s="160"/>
      <c r="B337" s="161"/>
      <c r="C337" s="161"/>
      <c r="D337" s="163">
        <f>IFERROR(AkquiseTracking[[#This Row],[Wählversuche]]/AkquiseTracking[[#This Row],[Gespräche mit Empfang]],0)</f>
        <v>0</v>
      </c>
      <c r="E337" s="161"/>
      <c r="F337" s="163">
        <f>IFERROR(AkquiseTracking[[#This Row],[Gespräche mit Entscheider]]/AkquiseTracking[[#This Row],[Gespräche mit Empfang]],0)</f>
        <v>0</v>
      </c>
      <c r="G337" s="161"/>
      <c r="H337" s="163">
        <f>IFERROR(AkquiseTracking[[#This Row],[Termine vereinbart]]/AkquiseTracking[[#This Row],[Gespräche mit Empfang]],0)</f>
        <v>0</v>
      </c>
    </row>
    <row r="338" spans="1:8" ht="22.5" customHeight="1">
      <c r="A338" s="160"/>
      <c r="B338" s="161"/>
      <c r="C338" s="161"/>
      <c r="D338" s="163">
        <f>IFERROR(AkquiseTracking[[#This Row],[Wählversuche]]/AkquiseTracking[[#This Row],[Gespräche mit Empfang]],0)</f>
        <v>0</v>
      </c>
      <c r="E338" s="161"/>
      <c r="F338" s="163">
        <f>IFERROR(AkquiseTracking[[#This Row],[Gespräche mit Entscheider]]/AkquiseTracking[[#This Row],[Gespräche mit Empfang]],0)</f>
        <v>0</v>
      </c>
      <c r="G338" s="161"/>
      <c r="H338" s="163">
        <f>IFERROR(AkquiseTracking[[#This Row],[Termine vereinbart]]/AkquiseTracking[[#This Row],[Gespräche mit Empfang]],0)</f>
        <v>0</v>
      </c>
    </row>
    <row r="339" spans="1:8" ht="22.5" customHeight="1">
      <c r="A339" s="160"/>
      <c r="B339" s="161"/>
      <c r="C339" s="161"/>
      <c r="D339" s="163">
        <f>IFERROR(AkquiseTracking[[#This Row],[Wählversuche]]/AkquiseTracking[[#This Row],[Gespräche mit Empfang]],0)</f>
        <v>0</v>
      </c>
      <c r="E339" s="161"/>
      <c r="F339" s="163">
        <f>IFERROR(AkquiseTracking[[#This Row],[Gespräche mit Entscheider]]/AkquiseTracking[[#This Row],[Gespräche mit Empfang]],0)</f>
        <v>0</v>
      </c>
      <c r="G339" s="161"/>
      <c r="H339" s="163">
        <f>IFERROR(AkquiseTracking[[#This Row],[Termine vereinbart]]/AkquiseTracking[[#This Row],[Gespräche mit Empfang]],0)</f>
        <v>0</v>
      </c>
    </row>
    <row r="340" spans="1:8" ht="22.5" customHeight="1">
      <c r="A340" s="160"/>
      <c r="B340" s="161"/>
      <c r="C340" s="161"/>
      <c r="D340" s="163">
        <f>IFERROR(AkquiseTracking[[#This Row],[Wählversuche]]/AkquiseTracking[[#This Row],[Gespräche mit Empfang]],0)</f>
        <v>0</v>
      </c>
      <c r="E340" s="161"/>
      <c r="F340" s="163">
        <f>IFERROR(AkquiseTracking[[#This Row],[Gespräche mit Entscheider]]/AkquiseTracking[[#This Row],[Gespräche mit Empfang]],0)</f>
        <v>0</v>
      </c>
      <c r="G340" s="161"/>
      <c r="H340" s="163">
        <f>IFERROR(AkquiseTracking[[#This Row],[Termine vereinbart]]/AkquiseTracking[[#This Row],[Gespräche mit Empfang]],0)</f>
        <v>0</v>
      </c>
    </row>
    <row r="341" spans="1:8" ht="22.5" customHeight="1">
      <c r="A341" s="160"/>
      <c r="B341" s="161"/>
      <c r="C341" s="161"/>
      <c r="D341" s="163">
        <f>IFERROR(AkquiseTracking[[#This Row],[Wählversuche]]/AkquiseTracking[[#This Row],[Gespräche mit Empfang]],0)</f>
        <v>0</v>
      </c>
      <c r="E341" s="161"/>
      <c r="F341" s="163">
        <f>IFERROR(AkquiseTracking[[#This Row],[Gespräche mit Entscheider]]/AkquiseTracking[[#This Row],[Gespräche mit Empfang]],0)</f>
        <v>0</v>
      </c>
      <c r="G341" s="161"/>
      <c r="H341" s="163">
        <f>IFERROR(AkquiseTracking[[#This Row],[Termine vereinbart]]/AkquiseTracking[[#This Row],[Gespräche mit Empfang]],0)</f>
        <v>0</v>
      </c>
    </row>
    <row r="342" spans="1:8" ht="22.5" customHeight="1">
      <c r="A342" s="160"/>
      <c r="B342" s="161"/>
      <c r="C342" s="161"/>
      <c r="D342" s="163">
        <f>IFERROR(AkquiseTracking[[#This Row],[Wählversuche]]/AkquiseTracking[[#This Row],[Gespräche mit Empfang]],0)</f>
        <v>0</v>
      </c>
      <c r="E342" s="161"/>
      <c r="F342" s="163">
        <f>IFERROR(AkquiseTracking[[#This Row],[Gespräche mit Entscheider]]/AkquiseTracking[[#This Row],[Gespräche mit Empfang]],0)</f>
        <v>0</v>
      </c>
      <c r="G342" s="161"/>
      <c r="H342" s="163">
        <f>IFERROR(AkquiseTracking[[#This Row],[Termine vereinbart]]/AkquiseTracking[[#This Row],[Gespräche mit Empfang]],0)</f>
        <v>0</v>
      </c>
    </row>
    <row r="343" spans="1:8" ht="22.5" customHeight="1">
      <c r="A343" s="160"/>
      <c r="B343" s="161"/>
      <c r="C343" s="161"/>
      <c r="D343" s="163">
        <f>IFERROR(AkquiseTracking[[#This Row],[Wählversuche]]/AkquiseTracking[[#This Row],[Gespräche mit Empfang]],0)</f>
        <v>0</v>
      </c>
      <c r="E343" s="161"/>
      <c r="F343" s="163">
        <f>IFERROR(AkquiseTracking[[#This Row],[Gespräche mit Entscheider]]/AkquiseTracking[[#This Row],[Gespräche mit Empfang]],0)</f>
        <v>0</v>
      </c>
      <c r="G343" s="161"/>
      <c r="H343" s="163">
        <f>IFERROR(AkquiseTracking[[#This Row],[Termine vereinbart]]/AkquiseTracking[[#This Row],[Gespräche mit Empfang]],0)</f>
        <v>0</v>
      </c>
    </row>
    <row r="344" spans="1:8" ht="22.5" customHeight="1">
      <c r="A344" s="160"/>
      <c r="B344" s="161"/>
      <c r="C344" s="161"/>
      <c r="D344" s="163">
        <f>IFERROR(AkquiseTracking[[#This Row],[Wählversuche]]/AkquiseTracking[[#This Row],[Gespräche mit Empfang]],0)</f>
        <v>0</v>
      </c>
      <c r="E344" s="161"/>
      <c r="F344" s="163">
        <f>IFERROR(AkquiseTracking[[#This Row],[Gespräche mit Entscheider]]/AkquiseTracking[[#This Row],[Gespräche mit Empfang]],0)</f>
        <v>0</v>
      </c>
      <c r="G344" s="161"/>
      <c r="H344" s="163">
        <f>IFERROR(AkquiseTracking[[#This Row],[Termine vereinbart]]/AkquiseTracking[[#This Row],[Gespräche mit Empfang]],0)</f>
        <v>0</v>
      </c>
    </row>
    <row r="345" spans="1:8" ht="22.5" customHeight="1">
      <c r="A345" s="160"/>
      <c r="B345" s="161"/>
      <c r="C345" s="161"/>
      <c r="D345" s="163">
        <f>IFERROR(AkquiseTracking[[#This Row],[Wählversuche]]/AkquiseTracking[[#This Row],[Gespräche mit Empfang]],0)</f>
        <v>0</v>
      </c>
      <c r="E345" s="161"/>
      <c r="F345" s="163">
        <f>IFERROR(AkquiseTracking[[#This Row],[Gespräche mit Entscheider]]/AkquiseTracking[[#This Row],[Gespräche mit Empfang]],0)</f>
        <v>0</v>
      </c>
      <c r="G345" s="161"/>
      <c r="H345" s="163">
        <f>IFERROR(AkquiseTracking[[#This Row],[Termine vereinbart]]/AkquiseTracking[[#This Row],[Gespräche mit Empfang]],0)</f>
        <v>0</v>
      </c>
    </row>
    <row r="346" spans="1:8" ht="22.5" customHeight="1">
      <c r="A346" s="160"/>
      <c r="B346" s="161"/>
      <c r="C346" s="161"/>
      <c r="D346" s="163">
        <f>IFERROR(AkquiseTracking[[#This Row],[Wählversuche]]/AkquiseTracking[[#This Row],[Gespräche mit Empfang]],0)</f>
        <v>0</v>
      </c>
      <c r="E346" s="161"/>
      <c r="F346" s="163">
        <f>IFERROR(AkquiseTracking[[#This Row],[Gespräche mit Entscheider]]/AkquiseTracking[[#This Row],[Gespräche mit Empfang]],0)</f>
        <v>0</v>
      </c>
      <c r="G346" s="161"/>
      <c r="H346" s="163">
        <f>IFERROR(AkquiseTracking[[#This Row],[Termine vereinbart]]/AkquiseTracking[[#This Row],[Gespräche mit Empfang]],0)</f>
        <v>0</v>
      </c>
    </row>
    <row r="347" spans="1:8" ht="22.5" customHeight="1">
      <c r="A347" s="160"/>
      <c r="B347" s="161"/>
      <c r="C347" s="161"/>
      <c r="D347" s="163">
        <f>IFERROR(AkquiseTracking[[#This Row],[Wählversuche]]/AkquiseTracking[[#This Row],[Gespräche mit Empfang]],0)</f>
        <v>0</v>
      </c>
      <c r="E347" s="161"/>
      <c r="F347" s="163">
        <f>IFERROR(AkquiseTracking[[#This Row],[Gespräche mit Entscheider]]/AkquiseTracking[[#This Row],[Gespräche mit Empfang]],0)</f>
        <v>0</v>
      </c>
      <c r="G347" s="161"/>
      <c r="H347" s="163">
        <f>IFERROR(AkquiseTracking[[#This Row],[Termine vereinbart]]/AkquiseTracking[[#This Row],[Gespräche mit Empfang]],0)</f>
        <v>0</v>
      </c>
    </row>
    <row r="348" spans="1:8" ht="22.5" customHeight="1">
      <c r="A348" s="160"/>
      <c r="B348" s="161"/>
      <c r="C348" s="161"/>
      <c r="D348" s="163">
        <f>IFERROR(AkquiseTracking[[#This Row],[Wählversuche]]/AkquiseTracking[[#This Row],[Gespräche mit Empfang]],0)</f>
        <v>0</v>
      </c>
      <c r="E348" s="161"/>
      <c r="F348" s="163">
        <f>IFERROR(AkquiseTracking[[#This Row],[Gespräche mit Entscheider]]/AkquiseTracking[[#This Row],[Gespräche mit Empfang]],0)</f>
        <v>0</v>
      </c>
      <c r="G348" s="161"/>
      <c r="H348" s="163">
        <f>IFERROR(AkquiseTracking[[#This Row],[Termine vereinbart]]/AkquiseTracking[[#This Row],[Gespräche mit Empfang]],0)</f>
        <v>0</v>
      </c>
    </row>
    <row r="349" spans="1:8" ht="22.5" customHeight="1">
      <c r="A349" s="160"/>
      <c r="B349" s="161"/>
      <c r="C349" s="161"/>
      <c r="D349" s="163">
        <f>IFERROR(AkquiseTracking[[#This Row],[Wählversuche]]/AkquiseTracking[[#This Row],[Gespräche mit Empfang]],0)</f>
        <v>0</v>
      </c>
      <c r="E349" s="161"/>
      <c r="F349" s="163">
        <f>IFERROR(AkquiseTracking[[#This Row],[Gespräche mit Entscheider]]/AkquiseTracking[[#This Row],[Gespräche mit Empfang]],0)</f>
        <v>0</v>
      </c>
      <c r="G349" s="161"/>
      <c r="H349" s="163">
        <f>IFERROR(AkquiseTracking[[#This Row],[Termine vereinbart]]/AkquiseTracking[[#This Row],[Gespräche mit Empfang]],0)</f>
        <v>0</v>
      </c>
    </row>
    <row r="350" spans="1:8" ht="22.5" customHeight="1">
      <c r="A350" s="160"/>
      <c r="B350" s="161"/>
      <c r="C350" s="161"/>
      <c r="D350" s="163">
        <f>IFERROR(AkquiseTracking[[#This Row],[Wählversuche]]/AkquiseTracking[[#This Row],[Gespräche mit Empfang]],0)</f>
        <v>0</v>
      </c>
      <c r="E350" s="161"/>
      <c r="F350" s="163">
        <f>IFERROR(AkquiseTracking[[#This Row],[Gespräche mit Entscheider]]/AkquiseTracking[[#This Row],[Gespräche mit Empfang]],0)</f>
        <v>0</v>
      </c>
      <c r="G350" s="161"/>
      <c r="H350" s="163">
        <f>IFERROR(AkquiseTracking[[#This Row],[Termine vereinbart]]/AkquiseTracking[[#This Row],[Gespräche mit Empfang]],0)</f>
        <v>0</v>
      </c>
    </row>
    <row r="351" spans="1:8" ht="22.5" customHeight="1">
      <c r="A351" s="160"/>
      <c r="B351" s="161"/>
      <c r="C351" s="161"/>
      <c r="D351" s="163">
        <f>IFERROR(AkquiseTracking[[#This Row],[Wählversuche]]/AkquiseTracking[[#This Row],[Gespräche mit Empfang]],0)</f>
        <v>0</v>
      </c>
      <c r="E351" s="161"/>
      <c r="F351" s="163">
        <f>IFERROR(AkquiseTracking[[#This Row],[Gespräche mit Entscheider]]/AkquiseTracking[[#This Row],[Gespräche mit Empfang]],0)</f>
        <v>0</v>
      </c>
      <c r="G351" s="161"/>
      <c r="H351" s="163">
        <f>IFERROR(AkquiseTracking[[#This Row],[Termine vereinbart]]/AkquiseTracking[[#This Row],[Gespräche mit Empfang]],0)</f>
        <v>0</v>
      </c>
    </row>
    <row r="352" spans="1:8" ht="22.5" customHeight="1">
      <c r="A352" s="160"/>
      <c r="B352" s="161"/>
      <c r="C352" s="161"/>
      <c r="D352" s="163">
        <f>IFERROR(AkquiseTracking[[#This Row],[Wählversuche]]/AkquiseTracking[[#This Row],[Gespräche mit Empfang]],0)</f>
        <v>0</v>
      </c>
      <c r="E352" s="161"/>
      <c r="F352" s="163">
        <f>IFERROR(AkquiseTracking[[#This Row],[Gespräche mit Entscheider]]/AkquiseTracking[[#This Row],[Gespräche mit Empfang]],0)</f>
        <v>0</v>
      </c>
      <c r="G352" s="161"/>
      <c r="H352" s="163">
        <f>IFERROR(AkquiseTracking[[#This Row],[Termine vereinbart]]/AkquiseTracking[[#This Row],[Gespräche mit Empfang]],0)</f>
        <v>0</v>
      </c>
    </row>
    <row r="353" spans="1:8" ht="22.5" customHeight="1">
      <c r="A353" s="160"/>
      <c r="B353" s="161"/>
      <c r="C353" s="161"/>
      <c r="D353" s="163">
        <f>IFERROR(AkquiseTracking[[#This Row],[Wählversuche]]/AkquiseTracking[[#This Row],[Gespräche mit Empfang]],0)</f>
        <v>0</v>
      </c>
      <c r="E353" s="161"/>
      <c r="F353" s="163">
        <f>IFERROR(AkquiseTracking[[#This Row],[Gespräche mit Entscheider]]/AkquiseTracking[[#This Row],[Gespräche mit Empfang]],0)</f>
        <v>0</v>
      </c>
      <c r="G353" s="161"/>
      <c r="H353" s="163">
        <f>IFERROR(AkquiseTracking[[#This Row],[Termine vereinbart]]/AkquiseTracking[[#This Row],[Gespräche mit Empfang]],0)</f>
        <v>0</v>
      </c>
    </row>
    <row r="354" spans="1:8" ht="22.5" customHeight="1">
      <c r="A354" s="160"/>
      <c r="B354" s="161"/>
      <c r="C354" s="161"/>
      <c r="D354" s="163">
        <f>IFERROR(AkquiseTracking[[#This Row],[Wählversuche]]/AkquiseTracking[[#This Row],[Gespräche mit Empfang]],0)</f>
        <v>0</v>
      </c>
      <c r="E354" s="161"/>
      <c r="F354" s="163">
        <f>IFERROR(AkquiseTracking[[#This Row],[Gespräche mit Entscheider]]/AkquiseTracking[[#This Row],[Gespräche mit Empfang]],0)</f>
        <v>0</v>
      </c>
      <c r="G354" s="161"/>
      <c r="H354" s="163">
        <f>IFERROR(AkquiseTracking[[#This Row],[Termine vereinbart]]/AkquiseTracking[[#This Row],[Gespräche mit Empfang]],0)</f>
        <v>0</v>
      </c>
    </row>
    <row r="355" spans="1:8" ht="22.5" customHeight="1">
      <c r="A355" s="160"/>
      <c r="B355" s="161"/>
      <c r="C355" s="161"/>
      <c r="D355" s="163">
        <f>IFERROR(AkquiseTracking[[#This Row],[Wählversuche]]/AkquiseTracking[[#This Row],[Gespräche mit Empfang]],0)</f>
        <v>0</v>
      </c>
      <c r="E355" s="161"/>
      <c r="F355" s="163">
        <f>IFERROR(AkquiseTracking[[#This Row],[Gespräche mit Entscheider]]/AkquiseTracking[[#This Row],[Gespräche mit Empfang]],0)</f>
        <v>0</v>
      </c>
      <c r="G355" s="161"/>
      <c r="H355" s="163">
        <f>IFERROR(AkquiseTracking[[#This Row],[Termine vereinbart]]/AkquiseTracking[[#This Row],[Gespräche mit Empfang]],0)</f>
        <v>0</v>
      </c>
    </row>
    <row r="356" spans="1:8" ht="22.5" customHeight="1">
      <c r="A356" s="160"/>
      <c r="B356" s="161"/>
      <c r="C356" s="161"/>
      <c r="D356" s="163">
        <f>IFERROR(AkquiseTracking[[#This Row],[Wählversuche]]/AkquiseTracking[[#This Row],[Gespräche mit Empfang]],0)</f>
        <v>0</v>
      </c>
      <c r="E356" s="161"/>
      <c r="F356" s="163">
        <f>IFERROR(AkquiseTracking[[#This Row],[Gespräche mit Entscheider]]/AkquiseTracking[[#This Row],[Gespräche mit Empfang]],0)</f>
        <v>0</v>
      </c>
      <c r="G356" s="161"/>
      <c r="H356" s="163">
        <f>IFERROR(AkquiseTracking[[#This Row],[Termine vereinbart]]/AkquiseTracking[[#This Row],[Gespräche mit Empfang]],0)</f>
        <v>0</v>
      </c>
    </row>
    <row r="357" spans="1:8" ht="22.5" customHeight="1">
      <c r="A357" s="160"/>
      <c r="B357" s="161"/>
      <c r="C357" s="161"/>
      <c r="D357" s="163">
        <f>IFERROR(AkquiseTracking[[#This Row],[Wählversuche]]/AkquiseTracking[[#This Row],[Gespräche mit Empfang]],0)</f>
        <v>0</v>
      </c>
      <c r="E357" s="161"/>
      <c r="F357" s="163">
        <f>IFERROR(AkquiseTracking[[#This Row],[Gespräche mit Entscheider]]/AkquiseTracking[[#This Row],[Gespräche mit Empfang]],0)</f>
        <v>0</v>
      </c>
      <c r="G357" s="161"/>
      <c r="H357" s="163">
        <f>IFERROR(AkquiseTracking[[#This Row],[Termine vereinbart]]/AkquiseTracking[[#This Row],[Gespräche mit Empfang]],0)</f>
        <v>0</v>
      </c>
    </row>
    <row r="358" spans="1:8" ht="22.5" customHeight="1">
      <c r="A358" s="160"/>
      <c r="B358" s="161"/>
      <c r="C358" s="161"/>
      <c r="D358" s="163">
        <f>IFERROR(AkquiseTracking[[#This Row],[Wählversuche]]/AkquiseTracking[[#This Row],[Gespräche mit Empfang]],0)</f>
        <v>0</v>
      </c>
      <c r="E358" s="161"/>
      <c r="F358" s="163">
        <f>IFERROR(AkquiseTracking[[#This Row],[Gespräche mit Entscheider]]/AkquiseTracking[[#This Row],[Gespräche mit Empfang]],0)</f>
        <v>0</v>
      </c>
      <c r="G358" s="161"/>
      <c r="H358" s="163">
        <f>IFERROR(AkquiseTracking[[#This Row],[Termine vereinbart]]/AkquiseTracking[[#This Row],[Gespräche mit Empfang]],0)</f>
        <v>0</v>
      </c>
    </row>
    <row r="359" spans="1:8" ht="22.5" customHeight="1">
      <c r="A359" s="160"/>
      <c r="B359" s="161"/>
      <c r="C359" s="161"/>
      <c r="D359" s="163">
        <f>IFERROR(AkquiseTracking[[#This Row],[Wählversuche]]/AkquiseTracking[[#This Row],[Gespräche mit Empfang]],0)</f>
        <v>0</v>
      </c>
      <c r="E359" s="161"/>
      <c r="F359" s="163">
        <f>IFERROR(AkquiseTracking[[#This Row],[Gespräche mit Entscheider]]/AkquiseTracking[[#This Row],[Gespräche mit Empfang]],0)</f>
        <v>0</v>
      </c>
      <c r="G359" s="161"/>
      <c r="H359" s="163">
        <f>IFERROR(AkquiseTracking[[#This Row],[Termine vereinbart]]/AkquiseTracking[[#This Row],[Gespräche mit Empfang]],0)</f>
        <v>0</v>
      </c>
    </row>
    <row r="360" spans="1:8" ht="22.5" customHeight="1">
      <c r="A360" s="160"/>
      <c r="B360" s="161"/>
      <c r="C360" s="161"/>
      <c r="D360" s="163">
        <f>IFERROR(AkquiseTracking[[#This Row],[Wählversuche]]/AkquiseTracking[[#This Row],[Gespräche mit Empfang]],0)</f>
        <v>0</v>
      </c>
      <c r="E360" s="161"/>
      <c r="F360" s="163">
        <f>IFERROR(AkquiseTracking[[#This Row],[Gespräche mit Entscheider]]/AkquiseTracking[[#This Row],[Gespräche mit Empfang]],0)</f>
        <v>0</v>
      </c>
      <c r="G360" s="161"/>
      <c r="H360" s="163">
        <f>IFERROR(AkquiseTracking[[#This Row],[Termine vereinbart]]/AkquiseTracking[[#This Row],[Gespräche mit Empfang]],0)</f>
        <v>0</v>
      </c>
    </row>
    <row r="361" spans="1:8" ht="22.5" customHeight="1">
      <c r="A361" s="160"/>
      <c r="B361" s="161"/>
      <c r="C361" s="161"/>
      <c r="D361" s="163">
        <f>IFERROR(AkquiseTracking[[#This Row],[Wählversuche]]/AkquiseTracking[[#This Row],[Gespräche mit Empfang]],0)</f>
        <v>0</v>
      </c>
      <c r="E361" s="161"/>
      <c r="F361" s="163">
        <f>IFERROR(AkquiseTracking[[#This Row],[Gespräche mit Entscheider]]/AkquiseTracking[[#This Row],[Gespräche mit Empfang]],0)</f>
        <v>0</v>
      </c>
      <c r="G361" s="161"/>
      <c r="H361" s="163">
        <f>IFERROR(AkquiseTracking[[#This Row],[Termine vereinbart]]/AkquiseTracking[[#This Row],[Gespräche mit Empfang]],0)</f>
        <v>0</v>
      </c>
    </row>
    <row r="362" spans="1:8" ht="22.5" customHeight="1">
      <c r="A362" s="160"/>
      <c r="B362" s="161"/>
      <c r="C362" s="161"/>
      <c r="D362" s="163">
        <f>IFERROR(AkquiseTracking[[#This Row],[Wählversuche]]/AkquiseTracking[[#This Row],[Gespräche mit Empfang]],0)</f>
        <v>0</v>
      </c>
      <c r="E362" s="161"/>
      <c r="F362" s="163">
        <f>IFERROR(AkquiseTracking[[#This Row],[Gespräche mit Entscheider]]/AkquiseTracking[[#This Row],[Gespräche mit Empfang]],0)</f>
        <v>0</v>
      </c>
      <c r="G362" s="161"/>
      <c r="H362" s="163">
        <f>IFERROR(AkquiseTracking[[#This Row],[Termine vereinbart]]/AkquiseTracking[[#This Row],[Gespräche mit Empfang]],0)</f>
        <v>0</v>
      </c>
    </row>
    <row r="363" spans="1:8" ht="22.5" customHeight="1">
      <c r="A363" s="160"/>
      <c r="B363" s="161"/>
      <c r="C363" s="161"/>
      <c r="D363" s="163">
        <f>IFERROR(AkquiseTracking[[#This Row],[Wählversuche]]/AkquiseTracking[[#This Row],[Gespräche mit Empfang]],0)</f>
        <v>0</v>
      </c>
      <c r="E363" s="161"/>
      <c r="F363" s="163">
        <f>IFERROR(AkquiseTracking[[#This Row],[Gespräche mit Entscheider]]/AkquiseTracking[[#This Row],[Gespräche mit Empfang]],0)</f>
        <v>0</v>
      </c>
      <c r="G363" s="161"/>
      <c r="H363" s="163">
        <f>IFERROR(AkquiseTracking[[#This Row],[Termine vereinbart]]/AkquiseTracking[[#This Row],[Gespräche mit Empfang]],0)</f>
        <v>0</v>
      </c>
    </row>
    <row r="364" spans="1:8" ht="22.5" customHeight="1">
      <c r="A364" s="160"/>
      <c r="B364" s="161"/>
      <c r="C364" s="161"/>
      <c r="D364" s="163">
        <f>IFERROR(AkquiseTracking[[#This Row],[Wählversuche]]/AkquiseTracking[[#This Row],[Gespräche mit Empfang]],0)</f>
        <v>0</v>
      </c>
      <c r="E364" s="161"/>
      <c r="F364" s="163">
        <f>IFERROR(AkquiseTracking[[#This Row],[Gespräche mit Entscheider]]/AkquiseTracking[[#This Row],[Gespräche mit Empfang]],0)</f>
        <v>0</v>
      </c>
      <c r="G364" s="161"/>
      <c r="H364" s="163">
        <f>IFERROR(AkquiseTracking[[#This Row],[Termine vereinbart]]/AkquiseTracking[[#This Row],[Gespräche mit Empfang]],0)</f>
        <v>0</v>
      </c>
    </row>
    <row r="365" spans="1:8" ht="22.5" customHeight="1">
      <c r="A365" s="160"/>
      <c r="B365" s="161"/>
      <c r="C365" s="161"/>
      <c r="D365" s="163">
        <f>IFERROR(AkquiseTracking[[#This Row],[Wählversuche]]/AkquiseTracking[[#This Row],[Gespräche mit Empfang]],0)</f>
        <v>0</v>
      </c>
      <c r="E365" s="161"/>
      <c r="F365" s="163">
        <f>IFERROR(AkquiseTracking[[#This Row],[Gespräche mit Entscheider]]/AkquiseTracking[[#This Row],[Gespräche mit Empfang]],0)</f>
        <v>0</v>
      </c>
      <c r="G365" s="161"/>
      <c r="H365" s="163">
        <f>IFERROR(AkquiseTracking[[#This Row],[Termine vereinbart]]/AkquiseTracking[[#This Row],[Gespräche mit Empfang]],0)</f>
        <v>0</v>
      </c>
    </row>
    <row r="366" spans="1:8" ht="22.5" customHeight="1">
      <c r="A366" s="160"/>
      <c r="B366" s="161"/>
      <c r="C366" s="161"/>
      <c r="D366" s="163">
        <f>IFERROR(AkquiseTracking[[#This Row],[Wählversuche]]/AkquiseTracking[[#This Row],[Gespräche mit Empfang]],0)</f>
        <v>0</v>
      </c>
      <c r="E366" s="161"/>
      <c r="F366" s="163">
        <f>IFERROR(AkquiseTracking[[#This Row],[Gespräche mit Entscheider]]/AkquiseTracking[[#This Row],[Gespräche mit Empfang]],0)</f>
        <v>0</v>
      </c>
      <c r="G366" s="161"/>
      <c r="H366" s="163">
        <f>IFERROR(AkquiseTracking[[#This Row],[Termine vereinbart]]/AkquiseTracking[[#This Row],[Gespräche mit Empfang]],0)</f>
        <v>0</v>
      </c>
    </row>
    <row r="367" spans="1:8" ht="22.5" customHeight="1">
      <c r="A367" s="160"/>
      <c r="B367" s="161"/>
      <c r="C367" s="161"/>
      <c r="D367" s="163">
        <f>IFERROR(AkquiseTracking[[#This Row],[Wählversuche]]/AkquiseTracking[[#This Row],[Gespräche mit Empfang]],0)</f>
        <v>0</v>
      </c>
      <c r="E367" s="161"/>
      <c r="F367" s="163">
        <f>IFERROR(AkquiseTracking[[#This Row],[Gespräche mit Entscheider]]/AkquiseTracking[[#This Row],[Gespräche mit Empfang]],0)</f>
        <v>0</v>
      </c>
      <c r="G367" s="161"/>
      <c r="H367" s="163">
        <f>IFERROR(AkquiseTracking[[#This Row],[Termine vereinbart]]/AkquiseTracking[[#This Row],[Gespräche mit Empfang]],0)</f>
        <v>0</v>
      </c>
    </row>
    <row r="368" spans="1:8" ht="22.5" customHeight="1">
      <c r="A368" s="160"/>
      <c r="B368" s="161"/>
      <c r="C368" s="161"/>
      <c r="D368" s="163">
        <f>IFERROR(AkquiseTracking[[#This Row],[Wählversuche]]/AkquiseTracking[[#This Row],[Gespräche mit Empfang]],0)</f>
        <v>0</v>
      </c>
      <c r="E368" s="161"/>
      <c r="F368" s="163">
        <f>IFERROR(AkquiseTracking[[#This Row],[Gespräche mit Entscheider]]/AkquiseTracking[[#This Row],[Gespräche mit Empfang]],0)</f>
        <v>0</v>
      </c>
      <c r="G368" s="161"/>
      <c r="H368" s="163">
        <f>IFERROR(AkquiseTracking[[#This Row],[Termine vereinbart]]/AkquiseTracking[[#This Row],[Gespräche mit Empfang]],0)</f>
        <v>0</v>
      </c>
    </row>
    <row r="369" spans="1:8" ht="22.5" customHeight="1">
      <c r="A369" s="160"/>
      <c r="B369" s="161"/>
      <c r="C369" s="161"/>
      <c r="D369" s="163">
        <f>IFERROR(AkquiseTracking[[#This Row],[Wählversuche]]/AkquiseTracking[[#This Row],[Gespräche mit Empfang]],0)</f>
        <v>0</v>
      </c>
      <c r="E369" s="161"/>
      <c r="F369" s="163">
        <f>IFERROR(AkquiseTracking[[#This Row],[Gespräche mit Entscheider]]/AkquiseTracking[[#This Row],[Gespräche mit Empfang]],0)</f>
        <v>0</v>
      </c>
      <c r="G369" s="161"/>
      <c r="H369" s="163">
        <f>IFERROR(AkquiseTracking[[#This Row],[Termine vereinbart]]/AkquiseTracking[[#This Row],[Gespräche mit Empfang]],0)</f>
        <v>0</v>
      </c>
    </row>
    <row r="370" spans="1:8" ht="22.5" customHeight="1">
      <c r="A370" s="160"/>
      <c r="B370" s="161"/>
      <c r="C370" s="161"/>
      <c r="D370" s="163">
        <f>IFERROR(AkquiseTracking[[#This Row],[Wählversuche]]/AkquiseTracking[[#This Row],[Gespräche mit Empfang]],0)</f>
        <v>0</v>
      </c>
      <c r="E370" s="161"/>
      <c r="F370" s="163">
        <f>IFERROR(AkquiseTracking[[#This Row],[Gespräche mit Entscheider]]/AkquiseTracking[[#This Row],[Gespräche mit Empfang]],0)</f>
        <v>0</v>
      </c>
      <c r="G370" s="161"/>
      <c r="H370" s="163">
        <f>IFERROR(AkquiseTracking[[#This Row],[Termine vereinbart]]/AkquiseTracking[[#This Row],[Gespräche mit Empfang]],0)</f>
        <v>0</v>
      </c>
    </row>
    <row r="371" spans="1:8" ht="22.5" customHeight="1">
      <c r="A371" s="160"/>
      <c r="B371" s="161"/>
      <c r="C371" s="161"/>
      <c r="D371" s="163">
        <f>IFERROR(AkquiseTracking[[#This Row],[Wählversuche]]/AkquiseTracking[[#This Row],[Gespräche mit Empfang]],0)</f>
        <v>0</v>
      </c>
      <c r="E371" s="161"/>
      <c r="F371" s="163">
        <f>IFERROR(AkquiseTracking[[#This Row],[Gespräche mit Entscheider]]/AkquiseTracking[[#This Row],[Gespräche mit Empfang]],0)</f>
        <v>0</v>
      </c>
      <c r="G371" s="161"/>
      <c r="H371" s="163">
        <f>IFERROR(AkquiseTracking[[#This Row],[Termine vereinbart]]/AkquiseTracking[[#This Row],[Gespräche mit Empfang]],0)</f>
        <v>0</v>
      </c>
    </row>
    <row r="372" spans="1:8" ht="22.5" customHeight="1">
      <c r="A372" s="160"/>
      <c r="B372" s="161"/>
      <c r="C372" s="161"/>
      <c r="D372" s="163">
        <f>IFERROR(AkquiseTracking[[#This Row],[Wählversuche]]/AkquiseTracking[[#This Row],[Gespräche mit Empfang]],0)</f>
        <v>0</v>
      </c>
      <c r="E372" s="161"/>
      <c r="F372" s="163">
        <f>IFERROR(AkquiseTracking[[#This Row],[Gespräche mit Entscheider]]/AkquiseTracking[[#This Row],[Gespräche mit Empfang]],0)</f>
        <v>0</v>
      </c>
      <c r="G372" s="161"/>
      <c r="H372" s="163">
        <f>IFERROR(AkquiseTracking[[#This Row],[Termine vereinbart]]/AkquiseTracking[[#This Row],[Gespräche mit Empfang]],0)</f>
        <v>0</v>
      </c>
    </row>
    <row r="373" spans="1:8" ht="22.5" customHeight="1">
      <c r="A373" s="160"/>
      <c r="B373" s="161"/>
      <c r="C373" s="161"/>
      <c r="D373" s="163">
        <f>IFERROR(AkquiseTracking[[#This Row],[Wählversuche]]/AkquiseTracking[[#This Row],[Gespräche mit Empfang]],0)</f>
        <v>0</v>
      </c>
      <c r="E373" s="161"/>
      <c r="F373" s="163">
        <f>IFERROR(AkquiseTracking[[#This Row],[Gespräche mit Entscheider]]/AkquiseTracking[[#This Row],[Gespräche mit Empfang]],0)</f>
        <v>0</v>
      </c>
      <c r="G373" s="161"/>
      <c r="H373" s="163">
        <f>IFERROR(AkquiseTracking[[#This Row],[Termine vereinbart]]/AkquiseTracking[[#This Row],[Gespräche mit Empfang]],0)</f>
        <v>0</v>
      </c>
    </row>
    <row r="374" spans="1:8" ht="22.5" customHeight="1">
      <c r="A374" s="160"/>
      <c r="B374" s="161"/>
      <c r="C374" s="161"/>
      <c r="D374" s="163">
        <f>IFERROR(AkquiseTracking[[#This Row],[Wählversuche]]/AkquiseTracking[[#This Row],[Gespräche mit Empfang]],0)</f>
        <v>0</v>
      </c>
      <c r="E374" s="161"/>
      <c r="F374" s="163">
        <f>IFERROR(AkquiseTracking[[#This Row],[Gespräche mit Entscheider]]/AkquiseTracking[[#This Row],[Gespräche mit Empfang]],0)</f>
        <v>0</v>
      </c>
      <c r="G374" s="161"/>
      <c r="H374" s="163">
        <f>IFERROR(AkquiseTracking[[#This Row],[Termine vereinbart]]/AkquiseTracking[[#This Row],[Gespräche mit Empfang]],0)</f>
        <v>0</v>
      </c>
    </row>
    <row r="375" spans="1:8" ht="22.5" customHeight="1">
      <c r="A375" s="160"/>
      <c r="B375" s="161"/>
      <c r="C375" s="161"/>
      <c r="D375" s="163">
        <f>IFERROR(AkquiseTracking[[#This Row],[Wählversuche]]/AkquiseTracking[[#This Row],[Gespräche mit Empfang]],0)</f>
        <v>0</v>
      </c>
      <c r="E375" s="161"/>
      <c r="F375" s="163">
        <f>IFERROR(AkquiseTracking[[#This Row],[Gespräche mit Entscheider]]/AkquiseTracking[[#This Row],[Gespräche mit Empfang]],0)</f>
        <v>0</v>
      </c>
      <c r="G375" s="161"/>
      <c r="H375" s="163">
        <f>IFERROR(AkquiseTracking[[#This Row],[Termine vereinbart]]/AkquiseTracking[[#This Row],[Gespräche mit Empfang]],0)</f>
        <v>0</v>
      </c>
    </row>
    <row r="376" spans="1:8" ht="22.5" customHeight="1">
      <c r="A376" s="160"/>
      <c r="B376" s="161"/>
      <c r="C376" s="161"/>
      <c r="D376" s="163">
        <f>IFERROR(AkquiseTracking[[#This Row],[Wählversuche]]/AkquiseTracking[[#This Row],[Gespräche mit Empfang]],0)</f>
        <v>0</v>
      </c>
      <c r="E376" s="161"/>
      <c r="F376" s="163">
        <f>IFERROR(AkquiseTracking[[#This Row],[Gespräche mit Entscheider]]/AkquiseTracking[[#This Row],[Gespräche mit Empfang]],0)</f>
        <v>0</v>
      </c>
      <c r="G376" s="161"/>
      <c r="H376" s="163">
        <f>IFERROR(AkquiseTracking[[#This Row],[Termine vereinbart]]/AkquiseTracking[[#This Row],[Gespräche mit Empfang]],0)</f>
        <v>0</v>
      </c>
    </row>
    <row r="377" spans="1:8" ht="22.5" customHeight="1">
      <c r="A377" s="160"/>
      <c r="B377" s="161"/>
      <c r="C377" s="161"/>
      <c r="D377" s="163">
        <f>IFERROR(AkquiseTracking[[#This Row],[Wählversuche]]/AkquiseTracking[[#This Row],[Gespräche mit Empfang]],0)</f>
        <v>0</v>
      </c>
      <c r="E377" s="161"/>
      <c r="F377" s="163">
        <f>IFERROR(AkquiseTracking[[#This Row],[Gespräche mit Entscheider]]/AkquiseTracking[[#This Row],[Gespräche mit Empfang]],0)</f>
        <v>0</v>
      </c>
      <c r="G377" s="161"/>
      <c r="H377" s="163">
        <f>IFERROR(AkquiseTracking[[#This Row],[Termine vereinbart]]/AkquiseTracking[[#This Row],[Gespräche mit Empfang]],0)</f>
        <v>0</v>
      </c>
    </row>
    <row r="378" spans="1:8" ht="22.5" customHeight="1">
      <c r="A378" s="160"/>
      <c r="B378" s="161"/>
      <c r="C378" s="161"/>
      <c r="D378" s="163">
        <f>IFERROR(AkquiseTracking[[#This Row],[Wählversuche]]/AkquiseTracking[[#This Row],[Gespräche mit Empfang]],0)</f>
        <v>0</v>
      </c>
      <c r="E378" s="161"/>
      <c r="F378" s="163">
        <f>IFERROR(AkquiseTracking[[#This Row],[Gespräche mit Entscheider]]/AkquiseTracking[[#This Row],[Gespräche mit Empfang]],0)</f>
        <v>0</v>
      </c>
      <c r="G378" s="161"/>
      <c r="H378" s="163">
        <f>IFERROR(AkquiseTracking[[#This Row],[Termine vereinbart]]/AkquiseTracking[[#This Row],[Gespräche mit Empfang]],0)</f>
        <v>0</v>
      </c>
    </row>
    <row r="379" spans="1:8" ht="22.5" customHeight="1">
      <c r="A379" s="160"/>
      <c r="B379" s="161"/>
      <c r="C379" s="161"/>
      <c r="D379" s="163">
        <f>IFERROR(AkquiseTracking[[#This Row],[Wählversuche]]/AkquiseTracking[[#This Row],[Gespräche mit Empfang]],0)</f>
        <v>0</v>
      </c>
      <c r="E379" s="161"/>
      <c r="F379" s="163">
        <f>IFERROR(AkquiseTracking[[#This Row],[Gespräche mit Entscheider]]/AkquiseTracking[[#This Row],[Gespräche mit Empfang]],0)</f>
        <v>0</v>
      </c>
      <c r="G379" s="161"/>
      <c r="H379" s="163">
        <f>IFERROR(AkquiseTracking[[#This Row],[Termine vereinbart]]/AkquiseTracking[[#This Row],[Gespräche mit Empfang]],0)</f>
        <v>0</v>
      </c>
    </row>
    <row r="380" spans="1:8" ht="22.5" customHeight="1">
      <c r="A380" s="160"/>
      <c r="B380" s="161"/>
      <c r="C380" s="161"/>
      <c r="D380" s="163">
        <f>IFERROR(AkquiseTracking[[#This Row],[Wählversuche]]/AkquiseTracking[[#This Row],[Gespräche mit Empfang]],0)</f>
        <v>0</v>
      </c>
      <c r="E380" s="161"/>
      <c r="F380" s="163">
        <f>IFERROR(AkquiseTracking[[#This Row],[Gespräche mit Entscheider]]/AkquiseTracking[[#This Row],[Gespräche mit Empfang]],0)</f>
        <v>0</v>
      </c>
      <c r="G380" s="161"/>
      <c r="H380" s="163">
        <f>IFERROR(AkquiseTracking[[#This Row],[Termine vereinbart]]/AkquiseTracking[[#This Row],[Gespräche mit Empfang]],0)</f>
        <v>0</v>
      </c>
    </row>
    <row r="381" spans="1:8" ht="22.5" customHeight="1">
      <c r="A381" s="160"/>
      <c r="B381" s="161"/>
      <c r="C381" s="161"/>
      <c r="D381" s="163">
        <f>IFERROR(AkquiseTracking[[#This Row],[Wählversuche]]/AkquiseTracking[[#This Row],[Gespräche mit Empfang]],0)</f>
        <v>0</v>
      </c>
      <c r="E381" s="161"/>
      <c r="F381" s="163">
        <f>IFERROR(AkquiseTracking[[#This Row],[Gespräche mit Entscheider]]/AkquiseTracking[[#This Row],[Gespräche mit Empfang]],0)</f>
        <v>0</v>
      </c>
      <c r="G381" s="161"/>
      <c r="H381" s="163">
        <f>IFERROR(AkquiseTracking[[#This Row],[Termine vereinbart]]/AkquiseTracking[[#This Row],[Gespräche mit Empfang]],0)</f>
        <v>0</v>
      </c>
    </row>
    <row r="382" spans="1:8" ht="22.5" customHeight="1">
      <c r="A382" s="160"/>
      <c r="B382" s="161"/>
      <c r="C382" s="161"/>
      <c r="D382" s="163">
        <f>IFERROR(AkquiseTracking[[#This Row],[Wählversuche]]/AkquiseTracking[[#This Row],[Gespräche mit Empfang]],0)</f>
        <v>0</v>
      </c>
      <c r="E382" s="161"/>
      <c r="F382" s="163">
        <f>IFERROR(AkquiseTracking[[#This Row],[Gespräche mit Entscheider]]/AkquiseTracking[[#This Row],[Gespräche mit Empfang]],0)</f>
        <v>0</v>
      </c>
      <c r="G382" s="161"/>
      <c r="H382" s="163">
        <f>IFERROR(AkquiseTracking[[#This Row],[Termine vereinbart]]/AkquiseTracking[[#This Row],[Gespräche mit Empfang]],0)</f>
        <v>0</v>
      </c>
    </row>
    <row r="383" spans="1:8" ht="22.5" customHeight="1">
      <c r="A383" s="160"/>
      <c r="B383" s="161"/>
      <c r="C383" s="161"/>
      <c r="D383" s="163">
        <f>IFERROR(AkquiseTracking[[#This Row],[Wählversuche]]/AkquiseTracking[[#This Row],[Gespräche mit Empfang]],0)</f>
        <v>0</v>
      </c>
      <c r="E383" s="161"/>
      <c r="F383" s="163">
        <f>IFERROR(AkquiseTracking[[#This Row],[Gespräche mit Entscheider]]/AkquiseTracking[[#This Row],[Gespräche mit Empfang]],0)</f>
        <v>0</v>
      </c>
      <c r="G383" s="161"/>
      <c r="H383" s="163">
        <f>IFERROR(AkquiseTracking[[#This Row],[Termine vereinbart]]/AkquiseTracking[[#This Row],[Gespräche mit Empfang]],0)</f>
        <v>0</v>
      </c>
    </row>
    <row r="384" spans="1:8" ht="22.5" customHeight="1">
      <c r="A384" s="160"/>
      <c r="B384" s="161"/>
      <c r="C384" s="161"/>
      <c r="D384" s="163">
        <f>IFERROR(AkquiseTracking[[#This Row],[Wählversuche]]/AkquiseTracking[[#This Row],[Gespräche mit Empfang]],0)</f>
        <v>0</v>
      </c>
      <c r="E384" s="161"/>
      <c r="F384" s="163">
        <f>IFERROR(AkquiseTracking[[#This Row],[Gespräche mit Entscheider]]/AkquiseTracking[[#This Row],[Gespräche mit Empfang]],0)</f>
        <v>0</v>
      </c>
      <c r="G384" s="161"/>
      <c r="H384" s="163">
        <f>IFERROR(AkquiseTracking[[#This Row],[Termine vereinbart]]/AkquiseTracking[[#This Row],[Gespräche mit Empfang]],0)</f>
        <v>0</v>
      </c>
    </row>
    <row r="385" spans="1:8" ht="22.5" customHeight="1">
      <c r="A385" s="160"/>
      <c r="B385" s="161"/>
      <c r="C385" s="161"/>
      <c r="D385" s="163">
        <f>IFERROR(AkquiseTracking[[#This Row],[Wählversuche]]/AkquiseTracking[[#This Row],[Gespräche mit Empfang]],0)</f>
        <v>0</v>
      </c>
      <c r="E385" s="161"/>
      <c r="F385" s="163">
        <f>IFERROR(AkquiseTracking[[#This Row],[Gespräche mit Entscheider]]/AkquiseTracking[[#This Row],[Gespräche mit Empfang]],0)</f>
        <v>0</v>
      </c>
      <c r="G385" s="161"/>
      <c r="H385" s="163">
        <f>IFERROR(AkquiseTracking[[#This Row],[Termine vereinbart]]/AkquiseTracking[[#This Row],[Gespräche mit Empfang]],0)</f>
        <v>0</v>
      </c>
    </row>
    <row r="386" spans="1:8" ht="22.5" customHeight="1">
      <c r="A386" s="160"/>
      <c r="B386" s="161"/>
      <c r="C386" s="161"/>
      <c r="D386" s="163">
        <f>IFERROR(AkquiseTracking[[#This Row],[Wählversuche]]/AkquiseTracking[[#This Row],[Gespräche mit Empfang]],0)</f>
        <v>0</v>
      </c>
      <c r="E386" s="161"/>
      <c r="F386" s="163">
        <f>IFERROR(AkquiseTracking[[#This Row],[Gespräche mit Entscheider]]/AkquiseTracking[[#This Row],[Gespräche mit Empfang]],0)</f>
        <v>0</v>
      </c>
      <c r="G386" s="161"/>
      <c r="H386" s="163">
        <f>IFERROR(AkquiseTracking[[#This Row],[Termine vereinbart]]/AkquiseTracking[[#This Row],[Gespräche mit Empfang]],0)</f>
        <v>0</v>
      </c>
    </row>
    <row r="387" spans="1:8" ht="22.5" customHeight="1">
      <c r="A387" s="160"/>
      <c r="B387" s="161"/>
      <c r="C387" s="161"/>
      <c r="D387" s="163">
        <f>IFERROR(AkquiseTracking[[#This Row],[Wählversuche]]/AkquiseTracking[[#This Row],[Gespräche mit Empfang]],0)</f>
        <v>0</v>
      </c>
      <c r="E387" s="161"/>
      <c r="F387" s="163">
        <f>IFERROR(AkquiseTracking[[#This Row],[Gespräche mit Entscheider]]/AkquiseTracking[[#This Row],[Gespräche mit Empfang]],0)</f>
        <v>0</v>
      </c>
      <c r="G387" s="161"/>
      <c r="H387" s="163">
        <f>IFERROR(AkquiseTracking[[#This Row],[Termine vereinbart]]/AkquiseTracking[[#This Row],[Gespräche mit Empfang]],0)</f>
        <v>0</v>
      </c>
    </row>
    <row r="388" spans="1:8" ht="22.5" customHeight="1">
      <c r="A388" s="160"/>
      <c r="B388" s="161"/>
      <c r="C388" s="161"/>
      <c r="D388" s="163">
        <f>IFERROR(AkquiseTracking[[#This Row],[Wählversuche]]/AkquiseTracking[[#This Row],[Gespräche mit Empfang]],0)</f>
        <v>0</v>
      </c>
      <c r="E388" s="161"/>
      <c r="F388" s="163">
        <f>IFERROR(AkquiseTracking[[#This Row],[Gespräche mit Entscheider]]/AkquiseTracking[[#This Row],[Gespräche mit Empfang]],0)</f>
        <v>0</v>
      </c>
      <c r="G388" s="161"/>
      <c r="H388" s="163">
        <f>IFERROR(AkquiseTracking[[#This Row],[Termine vereinbart]]/AkquiseTracking[[#This Row],[Gespräche mit Empfang]],0)</f>
        <v>0</v>
      </c>
    </row>
    <row r="389" spans="1:8" ht="22.5" customHeight="1">
      <c r="A389" s="160"/>
      <c r="B389" s="161"/>
      <c r="C389" s="161"/>
      <c r="D389" s="163">
        <f>IFERROR(AkquiseTracking[[#This Row],[Wählversuche]]/AkquiseTracking[[#This Row],[Gespräche mit Empfang]],0)</f>
        <v>0</v>
      </c>
      <c r="E389" s="161"/>
      <c r="F389" s="163">
        <f>IFERROR(AkquiseTracking[[#This Row],[Gespräche mit Entscheider]]/AkquiseTracking[[#This Row],[Gespräche mit Empfang]],0)</f>
        <v>0</v>
      </c>
      <c r="G389" s="161"/>
      <c r="H389" s="163">
        <f>IFERROR(AkquiseTracking[[#This Row],[Termine vereinbart]]/AkquiseTracking[[#This Row],[Gespräche mit Empfang]],0)</f>
        <v>0</v>
      </c>
    </row>
    <row r="390" spans="1:8" ht="22.5" customHeight="1">
      <c r="A390" s="160"/>
      <c r="B390" s="161"/>
      <c r="C390" s="161"/>
      <c r="D390" s="163">
        <f>IFERROR(AkquiseTracking[[#This Row],[Wählversuche]]/AkquiseTracking[[#This Row],[Gespräche mit Empfang]],0)</f>
        <v>0</v>
      </c>
      <c r="E390" s="161"/>
      <c r="F390" s="163">
        <f>IFERROR(AkquiseTracking[[#This Row],[Gespräche mit Entscheider]]/AkquiseTracking[[#This Row],[Gespräche mit Empfang]],0)</f>
        <v>0</v>
      </c>
      <c r="G390" s="161"/>
      <c r="H390" s="163">
        <f>IFERROR(AkquiseTracking[[#This Row],[Termine vereinbart]]/AkquiseTracking[[#This Row],[Gespräche mit Empfang]],0)</f>
        <v>0</v>
      </c>
    </row>
    <row r="391" spans="1:8" ht="22.5" customHeight="1">
      <c r="A391" s="160"/>
      <c r="B391" s="161"/>
      <c r="C391" s="161"/>
      <c r="D391" s="163">
        <f>IFERROR(AkquiseTracking[[#This Row],[Wählversuche]]/AkquiseTracking[[#This Row],[Gespräche mit Empfang]],0)</f>
        <v>0</v>
      </c>
      <c r="E391" s="161"/>
      <c r="F391" s="163">
        <f>IFERROR(AkquiseTracking[[#This Row],[Gespräche mit Entscheider]]/AkquiseTracking[[#This Row],[Gespräche mit Empfang]],0)</f>
        <v>0</v>
      </c>
      <c r="G391" s="161"/>
      <c r="H391" s="163">
        <f>IFERROR(AkquiseTracking[[#This Row],[Termine vereinbart]]/AkquiseTracking[[#This Row],[Gespräche mit Empfang]],0)</f>
        <v>0</v>
      </c>
    </row>
    <row r="392" spans="1:8" ht="22.5" customHeight="1">
      <c r="A392" s="160"/>
      <c r="B392" s="161"/>
      <c r="C392" s="161"/>
      <c r="D392" s="163">
        <f>IFERROR(AkquiseTracking[[#This Row],[Wählversuche]]/AkquiseTracking[[#This Row],[Gespräche mit Empfang]],0)</f>
        <v>0</v>
      </c>
      <c r="E392" s="161"/>
      <c r="F392" s="163">
        <f>IFERROR(AkquiseTracking[[#This Row],[Gespräche mit Entscheider]]/AkquiseTracking[[#This Row],[Gespräche mit Empfang]],0)</f>
        <v>0</v>
      </c>
      <c r="G392" s="161"/>
      <c r="H392" s="163">
        <f>IFERROR(AkquiseTracking[[#This Row],[Termine vereinbart]]/AkquiseTracking[[#This Row],[Gespräche mit Empfang]],0)</f>
        <v>0</v>
      </c>
    </row>
    <row r="393" spans="1:8" ht="22.5" customHeight="1">
      <c r="A393" s="160"/>
      <c r="B393" s="161"/>
      <c r="C393" s="161"/>
      <c r="D393" s="163">
        <f>IFERROR(AkquiseTracking[[#This Row],[Wählversuche]]/AkquiseTracking[[#This Row],[Gespräche mit Empfang]],0)</f>
        <v>0</v>
      </c>
      <c r="E393" s="161"/>
      <c r="F393" s="163">
        <f>IFERROR(AkquiseTracking[[#This Row],[Gespräche mit Entscheider]]/AkquiseTracking[[#This Row],[Gespräche mit Empfang]],0)</f>
        <v>0</v>
      </c>
      <c r="G393" s="161"/>
      <c r="H393" s="163">
        <f>IFERROR(AkquiseTracking[[#This Row],[Termine vereinbart]]/AkquiseTracking[[#This Row],[Gespräche mit Empfang]],0)</f>
        <v>0</v>
      </c>
    </row>
    <row r="394" spans="1:8" ht="22.5" customHeight="1">
      <c r="A394" s="160"/>
      <c r="B394" s="161"/>
      <c r="C394" s="161"/>
      <c r="D394" s="163">
        <f>IFERROR(AkquiseTracking[[#This Row],[Wählversuche]]/AkquiseTracking[[#This Row],[Gespräche mit Empfang]],0)</f>
        <v>0</v>
      </c>
      <c r="E394" s="161"/>
      <c r="F394" s="163">
        <f>IFERROR(AkquiseTracking[[#This Row],[Gespräche mit Entscheider]]/AkquiseTracking[[#This Row],[Gespräche mit Empfang]],0)</f>
        <v>0</v>
      </c>
      <c r="G394" s="161"/>
      <c r="H394" s="163">
        <f>IFERROR(AkquiseTracking[[#This Row],[Termine vereinbart]]/AkquiseTracking[[#This Row],[Gespräche mit Empfang]],0)</f>
        <v>0</v>
      </c>
    </row>
    <row r="395" spans="1:8" ht="22.5" customHeight="1">
      <c r="A395" s="160"/>
      <c r="B395" s="161"/>
      <c r="C395" s="161"/>
      <c r="D395" s="163">
        <f>IFERROR(AkquiseTracking[[#This Row],[Wählversuche]]/AkquiseTracking[[#This Row],[Gespräche mit Empfang]],0)</f>
        <v>0</v>
      </c>
      <c r="E395" s="161"/>
      <c r="F395" s="163">
        <f>IFERROR(AkquiseTracking[[#This Row],[Gespräche mit Entscheider]]/AkquiseTracking[[#This Row],[Gespräche mit Empfang]],0)</f>
        <v>0</v>
      </c>
      <c r="G395" s="161"/>
      <c r="H395" s="163">
        <f>IFERROR(AkquiseTracking[[#This Row],[Termine vereinbart]]/AkquiseTracking[[#This Row],[Gespräche mit Empfang]],0)</f>
        <v>0</v>
      </c>
    </row>
    <row r="396" spans="1:8" ht="22.5" customHeight="1">
      <c r="A396" s="160"/>
      <c r="B396" s="161"/>
      <c r="C396" s="161"/>
      <c r="D396" s="163">
        <f>IFERROR(AkquiseTracking[[#This Row],[Wählversuche]]/AkquiseTracking[[#This Row],[Gespräche mit Empfang]],0)</f>
        <v>0</v>
      </c>
      <c r="E396" s="161"/>
      <c r="F396" s="163">
        <f>IFERROR(AkquiseTracking[[#This Row],[Gespräche mit Entscheider]]/AkquiseTracking[[#This Row],[Gespräche mit Empfang]],0)</f>
        <v>0</v>
      </c>
      <c r="G396" s="161"/>
      <c r="H396" s="163">
        <f>IFERROR(AkquiseTracking[[#This Row],[Termine vereinbart]]/AkquiseTracking[[#This Row],[Gespräche mit Empfang]],0)</f>
        <v>0</v>
      </c>
    </row>
    <row r="397" spans="1:8" ht="22.5" customHeight="1">
      <c r="A397" s="160"/>
      <c r="B397" s="161"/>
      <c r="C397" s="161"/>
      <c r="D397" s="163">
        <f>IFERROR(AkquiseTracking[[#This Row],[Wählversuche]]/AkquiseTracking[[#This Row],[Gespräche mit Empfang]],0)</f>
        <v>0</v>
      </c>
      <c r="E397" s="161"/>
      <c r="F397" s="163">
        <f>IFERROR(AkquiseTracking[[#This Row],[Gespräche mit Entscheider]]/AkquiseTracking[[#This Row],[Gespräche mit Empfang]],0)</f>
        <v>0</v>
      </c>
      <c r="G397" s="161"/>
      <c r="H397" s="163">
        <f>IFERROR(AkquiseTracking[[#This Row],[Termine vereinbart]]/AkquiseTracking[[#This Row],[Gespräche mit Empfang]],0)</f>
        <v>0</v>
      </c>
    </row>
    <row r="398" spans="1:8" ht="22.5" customHeight="1">
      <c r="A398" s="160"/>
      <c r="B398" s="161"/>
      <c r="C398" s="161"/>
      <c r="D398" s="163">
        <f>IFERROR(AkquiseTracking[[#This Row],[Wählversuche]]/AkquiseTracking[[#This Row],[Gespräche mit Empfang]],0)</f>
        <v>0</v>
      </c>
      <c r="E398" s="161"/>
      <c r="F398" s="163">
        <f>IFERROR(AkquiseTracking[[#This Row],[Gespräche mit Entscheider]]/AkquiseTracking[[#This Row],[Gespräche mit Empfang]],0)</f>
        <v>0</v>
      </c>
      <c r="G398" s="161"/>
      <c r="H398" s="163">
        <f>IFERROR(AkquiseTracking[[#This Row],[Termine vereinbart]]/AkquiseTracking[[#This Row],[Gespräche mit Empfang]],0)</f>
        <v>0</v>
      </c>
    </row>
    <row r="399" spans="1:8" ht="22.5" customHeight="1">
      <c r="A399" s="160"/>
      <c r="B399" s="161"/>
      <c r="C399" s="161"/>
      <c r="D399" s="163">
        <f>IFERROR(AkquiseTracking[[#This Row],[Wählversuche]]/AkquiseTracking[[#This Row],[Gespräche mit Empfang]],0)</f>
        <v>0</v>
      </c>
      <c r="E399" s="161"/>
      <c r="F399" s="163">
        <f>IFERROR(AkquiseTracking[[#This Row],[Gespräche mit Entscheider]]/AkquiseTracking[[#This Row],[Gespräche mit Empfang]],0)</f>
        <v>0</v>
      </c>
      <c r="G399" s="161"/>
      <c r="H399" s="163">
        <f>IFERROR(AkquiseTracking[[#This Row],[Termine vereinbart]]/AkquiseTracking[[#This Row],[Gespräche mit Empfang]],0)</f>
        <v>0</v>
      </c>
    </row>
    <row r="400" spans="1:8" ht="22.5" customHeight="1">
      <c r="A400" s="160"/>
      <c r="B400" s="161"/>
      <c r="C400" s="161"/>
      <c r="D400" s="163">
        <f>IFERROR(AkquiseTracking[[#This Row],[Wählversuche]]/AkquiseTracking[[#This Row],[Gespräche mit Empfang]],0)</f>
        <v>0</v>
      </c>
      <c r="E400" s="161"/>
      <c r="F400" s="163">
        <f>IFERROR(AkquiseTracking[[#This Row],[Gespräche mit Entscheider]]/AkquiseTracking[[#This Row],[Gespräche mit Empfang]],0)</f>
        <v>0</v>
      </c>
      <c r="G400" s="161"/>
      <c r="H400" s="163">
        <f>IFERROR(AkquiseTracking[[#This Row],[Termine vereinbart]]/AkquiseTracking[[#This Row],[Gespräche mit Empfang]],0)</f>
        <v>0</v>
      </c>
    </row>
    <row r="401" spans="1:8" ht="22.5" customHeight="1">
      <c r="A401" s="160"/>
      <c r="B401" s="161"/>
      <c r="C401" s="161"/>
      <c r="D401" s="163">
        <f>IFERROR(AkquiseTracking[[#This Row],[Wählversuche]]/AkquiseTracking[[#This Row],[Gespräche mit Empfang]],0)</f>
        <v>0</v>
      </c>
      <c r="E401" s="161"/>
      <c r="F401" s="163">
        <f>IFERROR(AkquiseTracking[[#This Row],[Gespräche mit Entscheider]]/AkquiseTracking[[#This Row],[Gespräche mit Empfang]],0)</f>
        <v>0</v>
      </c>
      <c r="G401" s="161"/>
      <c r="H401" s="163">
        <f>IFERROR(AkquiseTracking[[#This Row],[Termine vereinbart]]/AkquiseTracking[[#This Row],[Gespräche mit Empfang]],0)</f>
        <v>0</v>
      </c>
    </row>
    <row r="402" spans="1:8" ht="22.5" customHeight="1">
      <c r="A402" s="160"/>
      <c r="B402" s="161"/>
      <c r="C402" s="161"/>
      <c r="D402" s="163">
        <f>IFERROR(AkquiseTracking[[#This Row],[Wählversuche]]/AkquiseTracking[[#This Row],[Gespräche mit Empfang]],0)</f>
        <v>0</v>
      </c>
      <c r="E402" s="161"/>
      <c r="F402" s="163">
        <f>IFERROR(AkquiseTracking[[#This Row],[Gespräche mit Entscheider]]/AkquiseTracking[[#This Row],[Gespräche mit Empfang]],0)</f>
        <v>0</v>
      </c>
      <c r="G402" s="161"/>
      <c r="H402" s="163">
        <f>IFERROR(AkquiseTracking[[#This Row],[Termine vereinbart]]/AkquiseTracking[[#This Row],[Gespräche mit Empfang]],0)</f>
        <v>0</v>
      </c>
    </row>
    <row r="403" spans="1:8" ht="22.5" customHeight="1">
      <c r="A403" s="160"/>
      <c r="B403" s="161"/>
      <c r="C403" s="161"/>
      <c r="D403" s="163">
        <f>IFERROR(AkquiseTracking[[#This Row],[Wählversuche]]/AkquiseTracking[[#This Row],[Gespräche mit Empfang]],0)</f>
        <v>0</v>
      </c>
      <c r="E403" s="161"/>
      <c r="F403" s="163">
        <f>IFERROR(AkquiseTracking[[#This Row],[Gespräche mit Entscheider]]/AkquiseTracking[[#This Row],[Gespräche mit Empfang]],0)</f>
        <v>0</v>
      </c>
      <c r="G403" s="161"/>
      <c r="H403" s="163">
        <f>IFERROR(AkquiseTracking[[#This Row],[Termine vereinbart]]/AkquiseTracking[[#This Row],[Gespräche mit Empfang]],0)</f>
        <v>0</v>
      </c>
    </row>
    <row r="404" spans="1:8" ht="22.5" customHeight="1">
      <c r="A404" s="160"/>
      <c r="B404" s="161"/>
      <c r="C404" s="161"/>
      <c r="D404" s="163">
        <f>IFERROR(AkquiseTracking[[#This Row],[Wählversuche]]/AkquiseTracking[[#This Row],[Gespräche mit Empfang]],0)</f>
        <v>0</v>
      </c>
      <c r="E404" s="161"/>
      <c r="F404" s="163">
        <f>IFERROR(AkquiseTracking[[#This Row],[Gespräche mit Entscheider]]/AkquiseTracking[[#This Row],[Gespräche mit Empfang]],0)</f>
        <v>0</v>
      </c>
      <c r="G404" s="161"/>
      <c r="H404" s="163">
        <f>IFERROR(AkquiseTracking[[#This Row],[Termine vereinbart]]/AkquiseTracking[[#This Row],[Gespräche mit Empfang]],0)</f>
        <v>0</v>
      </c>
    </row>
    <row r="405" spans="1:8" ht="22.5" customHeight="1">
      <c r="A405" s="160"/>
      <c r="B405" s="161"/>
      <c r="C405" s="161"/>
      <c r="D405" s="163">
        <f>IFERROR(AkquiseTracking[[#This Row],[Wählversuche]]/AkquiseTracking[[#This Row],[Gespräche mit Empfang]],0)</f>
        <v>0</v>
      </c>
      <c r="E405" s="161"/>
      <c r="F405" s="163">
        <f>IFERROR(AkquiseTracking[[#This Row],[Gespräche mit Entscheider]]/AkquiseTracking[[#This Row],[Gespräche mit Empfang]],0)</f>
        <v>0</v>
      </c>
      <c r="G405" s="161"/>
      <c r="H405" s="163">
        <f>IFERROR(AkquiseTracking[[#This Row],[Termine vereinbart]]/AkquiseTracking[[#This Row],[Gespräche mit Empfang]],0)</f>
        <v>0</v>
      </c>
    </row>
    <row r="406" spans="1:8" ht="22.5" customHeight="1">
      <c r="A406" s="160"/>
      <c r="B406" s="161"/>
      <c r="C406" s="161"/>
      <c r="D406" s="163">
        <f>IFERROR(AkquiseTracking[[#This Row],[Wählversuche]]/AkquiseTracking[[#This Row],[Gespräche mit Empfang]],0)</f>
        <v>0</v>
      </c>
      <c r="E406" s="161"/>
      <c r="F406" s="163">
        <f>IFERROR(AkquiseTracking[[#This Row],[Gespräche mit Entscheider]]/AkquiseTracking[[#This Row],[Gespräche mit Empfang]],0)</f>
        <v>0</v>
      </c>
      <c r="G406" s="161"/>
      <c r="H406" s="163">
        <f>IFERROR(AkquiseTracking[[#This Row],[Termine vereinbart]]/AkquiseTracking[[#This Row],[Gespräche mit Empfang]],0)</f>
        <v>0</v>
      </c>
    </row>
    <row r="407" spans="1:8" ht="22.5" customHeight="1">
      <c r="A407" s="160"/>
      <c r="B407" s="161"/>
      <c r="C407" s="161"/>
      <c r="D407" s="163">
        <f>IFERROR(AkquiseTracking[[#This Row],[Wählversuche]]/AkquiseTracking[[#This Row],[Gespräche mit Empfang]],0)</f>
        <v>0</v>
      </c>
      <c r="E407" s="161"/>
      <c r="F407" s="163">
        <f>IFERROR(AkquiseTracking[[#This Row],[Gespräche mit Entscheider]]/AkquiseTracking[[#This Row],[Gespräche mit Empfang]],0)</f>
        <v>0</v>
      </c>
      <c r="G407" s="161"/>
      <c r="H407" s="163">
        <f>IFERROR(AkquiseTracking[[#This Row],[Termine vereinbart]]/AkquiseTracking[[#This Row],[Gespräche mit Empfang]],0)</f>
        <v>0</v>
      </c>
    </row>
    <row r="408" spans="1:8" ht="22.5" customHeight="1">
      <c r="A408" s="160"/>
      <c r="B408" s="161"/>
      <c r="C408" s="161"/>
      <c r="D408" s="163">
        <f>IFERROR(AkquiseTracking[[#This Row],[Wählversuche]]/AkquiseTracking[[#This Row],[Gespräche mit Empfang]],0)</f>
        <v>0</v>
      </c>
      <c r="E408" s="161"/>
      <c r="F408" s="163">
        <f>IFERROR(AkquiseTracking[[#This Row],[Gespräche mit Entscheider]]/AkquiseTracking[[#This Row],[Gespräche mit Empfang]],0)</f>
        <v>0</v>
      </c>
      <c r="G408" s="161"/>
      <c r="H408" s="163">
        <f>IFERROR(AkquiseTracking[[#This Row],[Termine vereinbart]]/AkquiseTracking[[#This Row],[Gespräche mit Empfang]],0)</f>
        <v>0</v>
      </c>
    </row>
    <row r="409" spans="1:8" ht="22.5" customHeight="1">
      <c r="A409" s="160"/>
      <c r="B409" s="161"/>
      <c r="C409" s="161"/>
      <c r="D409" s="163">
        <f>IFERROR(AkquiseTracking[[#This Row],[Wählversuche]]/AkquiseTracking[[#This Row],[Gespräche mit Empfang]],0)</f>
        <v>0</v>
      </c>
      <c r="E409" s="161"/>
      <c r="F409" s="163">
        <f>IFERROR(AkquiseTracking[[#This Row],[Gespräche mit Entscheider]]/AkquiseTracking[[#This Row],[Gespräche mit Empfang]],0)</f>
        <v>0</v>
      </c>
      <c r="G409" s="161"/>
      <c r="H409" s="163">
        <f>IFERROR(AkquiseTracking[[#This Row],[Termine vereinbart]]/AkquiseTracking[[#This Row],[Gespräche mit Empfang]],0)</f>
        <v>0</v>
      </c>
    </row>
    <row r="410" spans="1:8" ht="22.5" customHeight="1">
      <c r="A410" s="160"/>
      <c r="B410" s="161"/>
      <c r="C410" s="161"/>
      <c r="D410" s="163">
        <f>IFERROR(AkquiseTracking[[#This Row],[Wählversuche]]/AkquiseTracking[[#This Row],[Gespräche mit Empfang]],0)</f>
        <v>0</v>
      </c>
      <c r="E410" s="161"/>
      <c r="F410" s="163">
        <f>IFERROR(AkquiseTracking[[#This Row],[Gespräche mit Entscheider]]/AkquiseTracking[[#This Row],[Gespräche mit Empfang]],0)</f>
        <v>0</v>
      </c>
      <c r="G410" s="161"/>
      <c r="H410" s="163">
        <f>IFERROR(AkquiseTracking[[#This Row],[Termine vereinbart]]/AkquiseTracking[[#This Row],[Gespräche mit Empfang]],0)</f>
        <v>0</v>
      </c>
    </row>
    <row r="411" spans="1:8" ht="22.5" customHeight="1">
      <c r="A411" s="160"/>
      <c r="B411" s="161"/>
      <c r="C411" s="161"/>
      <c r="D411" s="163">
        <f>IFERROR(AkquiseTracking[[#This Row],[Wählversuche]]/AkquiseTracking[[#This Row],[Gespräche mit Empfang]],0)</f>
        <v>0</v>
      </c>
      <c r="E411" s="161"/>
      <c r="F411" s="163">
        <f>IFERROR(AkquiseTracking[[#This Row],[Gespräche mit Entscheider]]/AkquiseTracking[[#This Row],[Gespräche mit Empfang]],0)</f>
        <v>0</v>
      </c>
      <c r="G411" s="161"/>
      <c r="H411" s="163">
        <f>IFERROR(AkquiseTracking[[#This Row],[Termine vereinbart]]/AkquiseTracking[[#This Row],[Gespräche mit Empfang]],0)</f>
        <v>0</v>
      </c>
    </row>
    <row r="412" spans="1:8" ht="22.5" customHeight="1">
      <c r="A412" s="160"/>
      <c r="B412" s="161"/>
      <c r="C412" s="161"/>
      <c r="D412" s="163">
        <f>IFERROR(AkquiseTracking[[#This Row],[Wählversuche]]/AkquiseTracking[[#This Row],[Gespräche mit Empfang]],0)</f>
        <v>0</v>
      </c>
      <c r="E412" s="161"/>
      <c r="F412" s="163">
        <f>IFERROR(AkquiseTracking[[#This Row],[Gespräche mit Entscheider]]/AkquiseTracking[[#This Row],[Gespräche mit Empfang]],0)</f>
        <v>0</v>
      </c>
      <c r="G412" s="161"/>
      <c r="H412" s="163">
        <f>IFERROR(AkquiseTracking[[#This Row],[Termine vereinbart]]/AkquiseTracking[[#This Row],[Gespräche mit Empfang]],0)</f>
        <v>0</v>
      </c>
    </row>
    <row r="413" spans="1:8" ht="22.5" customHeight="1">
      <c r="A413" s="160"/>
      <c r="B413" s="161"/>
      <c r="C413" s="161"/>
      <c r="D413" s="163">
        <f>IFERROR(AkquiseTracking[[#This Row],[Wählversuche]]/AkquiseTracking[[#This Row],[Gespräche mit Empfang]],0)</f>
        <v>0</v>
      </c>
      <c r="E413" s="161"/>
      <c r="F413" s="163">
        <f>IFERROR(AkquiseTracking[[#This Row],[Gespräche mit Entscheider]]/AkquiseTracking[[#This Row],[Gespräche mit Empfang]],0)</f>
        <v>0</v>
      </c>
      <c r="G413" s="161"/>
      <c r="H413" s="163">
        <f>IFERROR(AkquiseTracking[[#This Row],[Termine vereinbart]]/AkquiseTracking[[#This Row],[Gespräche mit Empfang]],0)</f>
        <v>0</v>
      </c>
    </row>
    <row r="414" spans="1:8" ht="22.5" customHeight="1">
      <c r="A414" s="160"/>
      <c r="B414" s="161"/>
      <c r="C414" s="161"/>
      <c r="D414" s="163">
        <f>IFERROR(AkquiseTracking[[#This Row],[Wählversuche]]/AkquiseTracking[[#This Row],[Gespräche mit Empfang]],0)</f>
        <v>0</v>
      </c>
      <c r="E414" s="161"/>
      <c r="F414" s="163">
        <f>IFERROR(AkquiseTracking[[#This Row],[Gespräche mit Entscheider]]/AkquiseTracking[[#This Row],[Gespräche mit Empfang]],0)</f>
        <v>0</v>
      </c>
      <c r="G414" s="161"/>
      <c r="H414" s="163">
        <f>IFERROR(AkquiseTracking[[#This Row],[Termine vereinbart]]/AkquiseTracking[[#This Row],[Gespräche mit Empfang]],0)</f>
        <v>0</v>
      </c>
    </row>
    <row r="415" spans="1:8" ht="22.5" customHeight="1">
      <c r="A415" s="160"/>
      <c r="B415" s="161"/>
      <c r="C415" s="161"/>
      <c r="D415" s="163">
        <f>IFERROR(AkquiseTracking[[#This Row],[Wählversuche]]/AkquiseTracking[[#This Row],[Gespräche mit Empfang]],0)</f>
        <v>0</v>
      </c>
      <c r="E415" s="161"/>
      <c r="F415" s="163">
        <f>IFERROR(AkquiseTracking[[#This Row],[Gespräche mit Entscheider]]/AkquiseTracking[[#This Row],[Gespräche mit Empfang]],0)</f>
        <v>0</v>
      </c>
      <c r="G415" s="161"/>
      <c r="H415" s="163">
        <f>IFERROR(AkquiseTracking[[#This Row],[Termine vereinbart]]/AkquiseTracking[[#This Row],[Gespräche mit Empfang]],0)</f>
        <v>0</v>
      </c>
    </row>
    <row r="416" spans="1:8" ht="22.5" customHeight="1">
      <c r="A416" s="160"/>
      <c r="B416" s="161"/>
      <c r="C416" s="161"/>
      <c r="D416" s="163">
        <f>IFERROR(AkquiseTracking[[#This Row],[Wählversuche]]/AkquiseTracking[[#This Row],[Gespräche mit Empfang]],0)</f>
        <v>0</v>
      </c>
      <c r="E416" s="161"/>
      <c r="F416" s="163">
        <f>IFERROR(AkquiseTracking[[#This Row],[Gespräche mit Entscheider]]/AkquiseTracking[[#This Row],[Gespräche mit Empfang]],0)</f>
        <v>0</v>
      </c>
      <c r="G416" s="161"/>
      <c r="H416" s="163">
        <f>IFERROR(AkquiseTracking[[#This Row],[Termine vereinbart]]/AkquiseTracking[[#This Row],[Gespräche mit Empfang]],0)</f>
        <v>0</v>
      </c>
    </row>
    <row r="417" spans="1:8" ht="22.5" customHeight="1">
      <c r="A417" s="160"/>
      <c r="B417" s="161"/>
      <c r="C417" s="161"/>
      <c r="D417" s="163">
        <f>IFERROR(AkquiseTracking[[#This Row],[Wählversuche]]/AkquiseTracking[[#This Row],[Gespräche mit Empfang]],0)</f>
        <v>0</v>
      </c>
      <c r="E417" s="161"/>
      <c r="F417" s="163">
        <f>IFERROR(AkquiseTracking[[#This Row],[Gespräche mit Entscheider]]/AkquiseTracking[[#This Row],[Gespräche mit Empfang]],0)</f>
        <v>0</v>
      </c>
      <c r="G417" s="161"/>
      <c r="H417" s="163">
        <f>IFERROR(AkquiseTracking[[#This Row],[Termine vereinbart]]/AkquiseTracking[[#This Row],[Gespräche mit Empfang]],0)</f>
        <v>0</v>
      </c>
    </row>
    <row r="418" spans="1:8" ht="22.5" customHeight="1">
      <c r="A418" s="160"/>
      <c r="B418" s="161"/>
      <c r="C418" s="161"/>
      <c r="D418" s="163">
        <f>IFERROR(AkquiseTracking[[#This Row],[Wählversuche]]/AkquiseTracking[[#This Row],[Gespräche mit Empfang]],0)</f>
        <v>0</v>
      </c>
      <c r="E418" s="161"/>
      <c r="F418" s="163">
        <f>IFERROR(AkquiseTracking[[#This Row],[Gespräche mit Entscheider]]/AkquiseTracking[[#This Row],[Gespräche mit Empfang]],0)</f>
        <v>0</v>
      </c>
      <c r="G418" s="161"/>
      <c r="H418" s="163">
        <f>IFERROR(AkquiseTracking[[#This Row],[Termine vereinbart]]/AkquiseTracking[[#This Row],[Gespräche mit Empfang]],0)</f>
        <v>0</v>
      </c>
    </row>
    <row r="419" spans="1:8" ht="22.5" customHeight="1">
      <c r="A419" s="160"/>
      <c r="B419" s="161"/>
      <c r="C419" s="161"/>
      <c r="D419" s="163">
        <f>IFERROR(AkquiseTracking[[#This Row],[Wählversuche]]/AkquiseTracking[[#This Row],[Gespräche mit Empfang]],0)</f>
        <v>0</v>
      </c>
      <c r="E419" s="161"/>
      <c r="F419" s="163">
        <f>IFERROR(AkquiseTracking[[#This Row],[Gespräche mit Entscheider]]/AkquiseTracking[[#This Row],[Gespräche mit Empfang]],0)</f>
        <v>0</v>
      </c>
      <c r="G419" s="161"/>
      <c r="H419" s="163">
        <f>IFERROR(AkquiseTracking[[#This Row],[Termine vereinbart]]/AkquiseTracking[[#This Row],[Gespräche mit Empfang]],0)</f>
        <v>0</v>
      </c>
    </row>
    <row r="420" spans="1:8" ht="22.5" customHeight="1">
      <c r="A420" s="160"/>
      <c r="B420" s="161"/>
      <c r="C420" s="161"/>
      <c r="D420" s="163">
        <f>IFERROR(AkquiseTracking[[#This Row],[Wählversuche]]/AkquiseTracking[[#This Row],[Gespräche mit Empfang]],0)</f>
        <v>0</v>
      </c>
      <c r="E420" s="161"/>
      <c r="F420" s="163">
        <f>IFERROR(AkquiseTracking[[#This Row],[Gespräche mit Entscheider]]/AkquiseTracking[[#This Row],[Gespräche mit Empfang]],0)</f>
        <v>0</v>
      </c>
      <c r="G420" s="161"/>
      <c r="H420" s="163">
        <f>IFERROR(AkquiseTracking[[#This Row],[Termine vereinbart]]/AkquiseTracking[[#This Row],[Gespräche mit Empfang]],0)</f>
        <v>0</v>
      </c>
    </row>
    <row r="421" spans="1:8" ht="22.5" customHeight="1">
      <c r="A421" s="160"/>
      <c r="B421" s="161"/>
      <c r="C421" s="161"/>
      <c r="D421" s="163">
        <f>IFERROR(AkquiseTracking[[#This Row],[Wählversuche]]/AkquiseTracking[[#This Row],[Gespräche mit Empfang]],0)</f>
        <v>0</v>
      </c>
      <c r="E421" s="161"/>
      <c r="F421" s="163">
        <f>IFERROR(AkquiseTracking[[#This Row],[Gespräche mit Entscheider]]/AkquiseTracking[[#This Row],[Gespräche mit Empfang]],0)</f>
        <v>0</v>
      </c>
      <c r="G421" s="161"/>
      <c r="H421" s="163">
        <f>IFERROR(AkquiseTracking[[#This Row],[Termine vereinbart]]/AkquiseTracking[[#This Row],[Gespräche mit Empfang]],0)</f>
        <v>0</v>
      </c>
    </row>
    <row r="422" spans="1:8" ht="22.5" customHeight="1">
      <c r="A422" s="160"/>
      <c r="B422" s="161"/>
      <c r="C422" s="161"/>
      <c r="D422" s="163">
        <f>IFERROR(AkquiseTracking[[#This Row],[Wählversuche]]/AkquiseTracking[[#This Row],[Gespräche mit Empfang]],0)</f>
        <v>0</v>
      </c>
      <c r="E422" s="161"/>
      <c r="F422" s="163">
        <f>IFERROR(AkquiseTracking[[#This Row],[Gespräche mit Entscheider]]/AkquiseTracking[[#This Row],[Gespräche mit Empfang]],0)</f>
        <v>0</v>
      </c>
      <c r="G422" s="161"/>
      <c r="H422" s="163">
        <f>IFERROR(AkquiseTracking[[#This Row],[Termine vereinbart]]/AkquiseTracking[[#This Row],[Gespräche mit Empfang]],0)</f>
        <v>0</v>
      </c>
    </row>
    <row r="423" spans="1:8" ht="22.5" customHeight="1">
      <c r="A423" s="160"/>
      <c r="B423" s="161"/>
      <c r="C423" s="161"/>
      <c r="D423" s="163">
        <f>IFERROR(AkquiseTracking[[#This Row],[Wählversuche]]/AkquiseTracking[[#This Row],[Gespräche mit Empfang]],0)</f>
        <v>0</v>
      </c>
      <c r="E423" s="161"/>
      <c r="F423" s="163">
        <f>IFERROR(AkquiseTracking[[#This Row],[Gespräche mit Entscheider]]/AkquiseTracking[[#This Row],[Gespräche mit Empfang]],0)</f>
        <v>0</v>
      </c>
      <c r="G423" s="161"/>
      <c r="H423" s="163">
        <f>IFERROR(AkquiseTracking[[#This Row],[Termine vereinbart]]/AkquiseTracking[[#This Row],[Gespräche mit Empfang]],0)</f>
        <v>0</v>
      </c>
    </row>
    <row r="424" spans="1:8" ht="22.5" customHeight="1">
      <c r="A424" s="160"/>
      <c r="B424" s="161"/>
      <c r="C424" s="161"/>
      <c r="D424" s="163">
        <f>IFERROR(AkquiseTracking[[#This Row],[Wählversuche]]/AkquiseTracking[[#This Row],[Gespräche mit Empfang]],0)</f>
        <v>0</v>
      </c>
      <c r="E424" s="161"/>
      <c r="F424" s="163">
        <f>IFERROR(AkquiseTracking[[#This Row],[Gespräche mit Entscheider]]/AkquiseTracking[[#This Row],[Gespräche mit Empfang]],0)</f>
        <v>0</v>
      </c>
      <c r="G424" s="161"/>
      <c r="H424" s="163">
        <f>IFERROR(AkquiseTracking[[#This Row],[Termine vereinbart]]/AkquiseTracking[[#This Row],[Gespräche mit Empfang]],0)</f>
        <v>0</v>
      </c>
    </row>
    <row r="425" spans="1:8" ht="22.5" customHeight="1">
      <c r="A425" s="160"/>
      <c r="B425" s="161"/>
      <c r="C425" s="161"/>
      <c r="D425" s="163">
        <f>IFERROR(AkquiseTracking[[#This Row],[Wählversuche]]/AkquiseTracking[[#This Row],[Gespräche mit Empfang]],0)</f>
        <v>0</v>
      </c>
      <c r="E425" s="161"/>
      <c r="F425" s="163">
        <f>IFERROR(AkquiseTracking[[#This Row],[Gespräche mit Entscheider]]/AkquiseTracking[[#This Row],[Gespräche mit Empfang]],0)</f>
        <v>0</v>
      </c>
      <c r="G425" s="161"/>
      <c r="H425" s="163">
        <f>IFERROR(AkquiseTracking[[#This Row],[Termine vereinbart]]/AkquiseTracking[[#This Row],[Gespräche mit Empfang]],0)</f>
        <v>0</v>
      </c>
    </row>
    <row r="426" spans="1:8" ht="22.5" customHeight="1">
      <c r="A426" s="160"/>
      <c r="B426" s="161"/>
      <c r="C426" s="161"/>
      <c r="D426" s="163">
        <f>IFERROR(AkquiseTracking[[#This Row],[Wählversuche]]/AkquiseTracking[[#This Row],[Gespräche mit Empfang]],0)</f>
        <v>0</v>
      </c>
      <c r="E426" s="161"/>
      <c r="F426" s="163">
        <f>IFERROR(AkquiseTracking[[#This Row],[Gespräche mit Entscheider]]/AkquiseTracking[[#This Row],[Gespräche mit Empfang]],0)</f>
        <v>0</v>
      </c>
      <c r="G426" s="161"/>
      <c r="H426" s="163">
        <f>IFERROR(AkquiseTracking[[#This Row],[Termine vereinbart]]/AkquiseTracking[[#This Row],[Gespräche mit Empfang]],0)</f>
        <v>0</v>
      </c>
    </row>
    <row r="427" spans="1:8" ht="22.5" customHeight="1">
      <c r="A427" s="160"/>
      <c r="B427" s="161"/>
      <c r="C427" s="161"/>
      <c r="D427" s="163">
        <f>IFERROR(AkquiseTracking[[#This Row],[Wählversuche]]/AkquiseTracking[[#This Row],[Gespräche mit Empfang]],0)</f>
        <v>0</v>
      </c>
      <c r="E427" s="161"/>
      <c r="F427" s="163">
        <f>IFERROR(AkquiseTracking[[#This Row],[Gespräche mit Entscheider]]/AkquiseTracking[[#This Row],[Gespräche mit Empfang]],0)</f>
        <v>0</v>
      </c>
      <c r="G427" s="161"/>
      <c r="H427" s="163">
        <f>IFERROR(AkquiseTracking[[#This Row],[Termine vereinbart]]/AkquiseTracking[[#This Row],[Gespräche mit Empfang]],0)</f>
        <v>0</v>
      </c>
    </row>
    <row r="428" spans="1:8" ht="22.5" customHeight="1">
      <c r="A428" s="160"/>
      <c r="B428" s="161"/>
      <c r="C428" s="161"/>
      <c r="D428" s="163">
        <f>IFERROR(AkquiseTracking[[#This Row],[Wählversuche]]/AkquiseTracking[[#This Row],[Gespräche mit Empfang]],0)</f>
        <v>0</v>
      </c>
      <c r="E428" s="161"/>
      <c r="F428" s="163">
        <f>IFERROR(AkquiseTracking[[#This Row],[Gespräche mit Entscheider]]/AkquiseTracking[[#This Row],[Gespräche mit Empfang]],0)</f>
        <v>0</v>
      </c>
      <c r="G428" s="161"/>
      <c r="H428" s="163">
        <f>IFERROR(AkquiseTracking[[#This Row],[Termine vereinbart]]/AkquiseTracking[[#This Row],[Gespräche mit Empfang]],0)</f>
        <v>0</v>
      </c>
    </row>
    <row r="429" spans="1:8" ht="22.5" customHeight="1">
      <c r="A429" s="160"/>
      <c r="B429" s="161"/>
      <c r="C429" s="161"/>
      <c r="D429" s="163">
        <f>IFERROR(AkquiseTracking[[#This Row],[Wählversuche]]/AkquiseTracking[[#This Row],[Gespräche mit Empfang]],0)</f>
        <v>0</v>
      </c>
      <c r="E429" s="161"/>
      <c r="F429" s="163">
        <f>IFERROR(AkquiseTracking[[#This Row],[Gespräche mit Entscheider]]/AkquiseTracking[[#This Row],[Gespräche mit Empfang]],0)</f>
        <v>0</v>
      </c>
      <c r="G429" s="161"/>
      <c r="H429" s="163">
        <f>IFERROR(AkquiseTracking[[#This Row],[Termine vereinbart]]/AkquiseTracking[[#This Row],[Gespräche mit Empfang]],0)</f>
        <v>0</v>
      </c>
    </row>
    <row r="430" spans="1:8" ht="22.5" customHeight="1">
      <c r="A430" s="160"/>
      <c r="B430" s="161"/>
      <c r="C430" s="161"/>
      <c r="D430" s="163">
        <f>IFERROR(AkquiseTracking[[#This Row],[Wählversuche]]/AkquiseTracking[[#This Row],[Gespräche mit Empfang]],0)</f>
        <v>0</v>
      </c>
      <c r="E430" s="161"/>
      <c r="F430" s="163">
        <f>IFERROR(AkquiseTracking[[#This Row],[Gespräche mit Entscheider]]/AkquiseTracking[[#This Row],[Gespräche mit Empfang]],0)</f>
        <v>0</v>
      </c>
      <c r="G430" s="161"/>
      <c r="H430" s="163">
        <f>IFERROR(AkquiseTracking[[#This Row],[Termine vereinbart]]/AkquiseTracking[[#This Row],[Gespräche mit Empfang]],0)</f>
        <v>0</v>
      </c>
    </row>
    <row r="431" spans="1:8" ht="22.5" customHeight="1">
      <c r="A431" s="160"/>
      <c r="B431" s="161"/>
      <c r="C431" s="161"/>
      <c r="D431" s="163">
        <f>IFERROR(AkquiseTracking[[#This Row],[Wählversuche]]/AkquiseTracking[[#This Row],[Gespräche mit Empfang]],0)</f>
        <v>0</v>
      </c>
      <c r="E431" s="161"/>
      <c r="F431" s="163">
        <f>IFERROR(AkquiseTracking[[#This Row],[Gespräche mit Entscheider]]/AkquiseTracking[[#This Row],[Gespräche mit Empfang]],0)</f>
        <v>0</v>
      </c>
      <c r="G431" s="161"/>
      <c r="H431" s="163">
        <f>IFERROR(AkquiseTracking[[#This Row],[Termine vereinbart]]/AkquiseTracking[[#This Row],[Gespräche mit Empfang]],0)</f>
        <v>0</v>
      </c>
    </row>
    <row r="432" spans="1:8" ht="22.5" customHeight="1">
      <c r="A432" s="160"/>
      <c r="B432" s="161"/>
      <c r="C432" s="161"/>
      <c r="D432" s="163">
        <f>IFERROR(AkquiseTracking[[#This Row],[Wählversuche]]/AkquiseTracking[[#This Row],[Gespräche mit Empfang]],0)</f>
        <v>0</v>
      </c>
      <c r="E432" s="161"/>
      <c r="F432" s="163">
        <f>IFERROR(AkquiseTracking[[#This Row],[Gespräche mit Entscheider]]/AkquiseTracking[[#This Row],[Gespräche mit Empfang]],0)</f>
        <v>0</v>
      </c>
      <c r="G432" s="161"/>
      <c r="H432" s="163">
        <f>IFERROR(AkquiseTracking[[#This Row],[Termine vereinbart]]/AkquiseTracking[[#This Row],[Gespräche mit Empfang]],0)</f>
        <v>0</v>
      </c>
    </row>
    <row r="433" spans="1:8" ht="22.5" customHeight="1">
      <c r="A433" s="160"/>
      <c r="B433" s="161"/>
      <c r="C433" s="161"/>
      <c r="D433" s="163">
        <f>IFERROR(AkquiseTracking[[#This Row],[Wählversuche]]/AkquiseTracking[[#This Row],[Gespräche mit Empfang]],0)</f>
        <v>0</v>
      </c>
      <c r="E433" s="161"/>
      <c r="F433" s="163">
        <f>IFERROR(AkquiseTracking[[#This Row],[Gespräche mit Entscheider]]/AkquiseTracking[[#This Row],[Gespräche mit Empfang]],0)</f>
        <v>0</v>
      </c>
      <c r="G433" s="161"/>
      <c r="H433" s="163">
        <f>IFERROR(AkquiseTracking[[#This Row],[Termine vereinbart]]/AkquiseTracking[[#This Row],[Gespräche mit Empfang]],0)</f>
        <v>0</v>
      </c>
    </row>
    <row r="434" spans="1:8" ht="22.5" customHeight="1">
      <c r="A434" s="160"/>
      <c r="B434" s="161"/>
      <c r="C434" s="161"/>
      <c r="D434" s="163">
        <f>IFERROR(AkquiseTracking[[#This Row],[Wählversuche]]/AkquiseTracking[[#This Row],[Gespräche mit Empfang]],0)</f>
        <v>0</v>
      </c>
      <c r="E434" s="161"/>
      <c r="F434" s="163">
        <f>IFERROR(AkquiseTracking[[#This Row],[Gespräche mit Entscheider]]/AkquiseTracking[[#This Row],[Gespräche mit Empfang]],0)</f>
        <v>0</v>
      </c>
      <c r="G434" s="161"/>
      <c r="H434" s="163">
        <f>IFERROR(AkquiseTracking[[#This Row],[Termine vereinbart]]/AkquiseTracking[[#This Row],[Gespräche mit Empfang]],0)</f>
        <v>0</v>
      </c>
    </row>
    <row r="435" spans="1:8" ht="22.5" customHeight="1">
      <c r="A435" s="160"/>
      <c r="B435" s="161"/>
      <c r="C435" s="161"/>
      <c r="D435" s="163">
        <f>IFERROR(AkquiseTracking[[#This Row],[Wählversuche]]/AkquiseTracking[[#This Row],[Gespräche mit Empfang]],0)</f>
        <v>0</v>
      </c>
      <c r="E435" s="161"/>
      <c r="F435" s="163">
        <f>IFERROR(AkquiseTracking[[#This Row],[Gespräche mit Entscheider]]/AkquiseTracking[[#This Row],[Gespräche mit Empfang]],0)</f>
        <v>0</v>
      </c>
      <c r="G435" s="161"/>
      <c r="H435" s="163">
        <f>IFERROR(AkquiseTracking[[#This Row],[Termine vereinbart]]/AkquiseTracking[[#This Row],[Gespräche mit Empfang]],0)</f>
        <v>0</v>
      </c>
    </row>
    <row r="436" spans="1:8" ht="22.5" customHeight="1">
      <c r="A436" s="160"/>
      <c r="B436" s="161"/>
      <c r="C436" s="161"/>
      <c r="D436" s="163">
        <f>IFERROR(AkquiseTracking[[#This Row],[Wählversuche]]/AkquiseTracking[[#This Row],[Gespräche mit Empfang]],0)</f>
        <v>0</v>
      </c>
      <c r="E436" s="161"/>
      <c r="F436" s="163">
        <f>IFERROR(AkquiseTracking[[#This Row],[Gespräche mit Entscheider]]/AkquiseTracking[[#This Row],[Gespräche mit Empfang]],0)</f>
        <v>0</v>
      </c>
      <c r="G436" s="161"/>
      <c r="H436" s="163">
        <f>IFERROR(AkquiseTracking[[#This Row],[Termine vereinbart]]/AkquiseTracking[[#This Row],[Gespräche mit Empfang]],0)</f>
        <v>0</v>
      </c>
    </row>
    <row r="437" spans="1:8" ht="22.5" customHeight="1">
      <c r="A437" s="160"/>
      <c r="B437" s="161"/>
      <c r="C437" s="161"/>
      <c r="D437" s="163">
        <f>IFERROR(AkquiseTracking[[#This Row],[Wählversuche]]/AkquiseTracking[[#This Row],[Gespräche mit Empfang]],0)</f>
        <v>0</v>
      </c>
      <c r="E437" s="161"/>
      <c r="F437" s="163">
        <f>IFERROR(AkquiseTracking[[#This Row],[Gespräche mit Entscheider]]/AkquiseTracking[[#This Row],[Gespräche mit Empfang]],0)</f>
        <v>0</v>
      </c>
      <c r="G437" s="161"/>
      <c r="H437" s="163">
        <f>IFERROR(AkquiseTracking[[#This Row],[Termine vereinbart]]/AkquiseTracking[[#This Row],[Gespräche mit Empfang]],0)</f>
        <v>0</v>
      </c>
    </row>
    <row r="438" spans="1:8" ht="22.5" customHeight="1">
      <c r="A438" s="160"/>
      <c r="B438" s="161"/>
      <c r="C438" s="161"/>
      <c r="D438" s="163">
        <f>IFERROR(AkquiseTracking[[#This Row],[Wählversuche]]/AkquiseTracking[[#This Row],[Gespräche mit Empfang]],0)</f>
        <v>0</v>
      </c>
      <c r="E438" s="161"/>
      <c r="F438" s="163">
        <f>IFERROR(AkquiseTracking[[#This Row],[Gespräche mit Entscheider]]/AkquiseTracking[[#This Row],[Gespräche mit Empfang]],0)</f>
        <v>0</v>
      </c>
      <c r="G438" s="161"/>
      <c r="H438" s="163">
        <f>IFERROR(AkquiseTracking[[#This Row],[Termine vereinbart]]/AkquiseTracking[[#This Row],[Gespräche mit Empfang]],0)</f>
        <v>0</v>
      </c>
    </row>
    <row r="439" spans="1:8" ht="22.5" customHeight="1">
      <c r="A439" s="160"/>
      <c r="B439" s="161"/>
      <c r="C439" s="161"/>
      <c r="D439" s="163">
        <f>IFERROR(AkquiseTracking[[#This Row],[Wählversuche]]/AkquiseTracking[[#This Row],[Gespräche mit Empfang]],0)</f>
        <v>0</v>
      </c>
      <c r="E439" s="161"/>
      <c r="F439" s="163">
        <f>IFERROR(AkquiseTracking[[#This Row],[Gespräche mit Entscheider]]/AkquiseTracking[[#This Row],[Gespräche mit Empfang]],0)</f>
        <v>0</v>
      </c>
      <c r="G439" s="161"/>
      <c r="H439" s="163">
        <f>IFERROR(AkquiseTracking[[#This Row],[Termine vereinbart]]/AkquiseTracking[[#This Row],[Gespräche mit Empfang]],0)</f>
        <v>0</v>
      </c>
    </row>
    <row r="440" spans="1:8" ht="22.5" customHeight="1">
      <c r="A440" s="160"/>
      <c r="B440" s="161"/>
      <c r="C440" s="161"/>
      <c r="D440" s="163">
        <f>IFERROR(AkquiseTracking[[#This Row],[Wählversuche]]/AkquiseTracking[[#This Row],[Gespräche mit Empfang]],0)</f>
        <v>0</v>
      </c>
      <c r="E440" s="161"/>
      <c r="F440" s="163">
        <f>IFERROR(AkquiseTracking[[#This Row],[Gespräche mit Entscheider]]/AkquiseTracking[[#This Row],[Gespräche mit Empfang]],0)</f>
        <v>0</v>
      </c>
      <c r="G440" s="161"/>
      <c r="H440" s="163">
        <f>IFERROR(AkquiseTracking[[#This Row],[Termine vereinbart]]/AkquiseTracking[[#This Row],[Gespräche mit Empfang]],0)</f>
        <v>0</v>
      </c>
    </row>
    <row r="441" spans="1:8" ht="22.5" customHeight="1">
      <c r="A441" s="160"/>
      <c r="B441" s="161"/>
      <c r="C441" s="161"/>
      <c r="D441" s="163">
        <f>IFERROR(AkquiseTracking[[#This Row],[Wählversuche]]/AkquiseTracking[[#This Row],[Gespräche mit Empfang]],0)</f>
        <v>0</v>
      </c>
      <c r="E441" s="161"/>
      <c r="F441" s="163">
        <f>IFERROR(AkquiseTracking[[#This Row],[Gespräche mit Entscheider]]/AkquiseTracking[[#This Row],[Gespräche mit Empfang]],0)</f>
        <v>0</v>
      </c>
      <c r="G441" s="161"/>
      <c r="H441" s="163">
        <f>IFERROR(AkquiseTracking[[#This Row],[Termine vereinbart]]/AkquiseTracking[[#This Row],[Gespräche mit Empfang]],0)</f>
        <v>0</v>
      </c>
    </row>
    <row r="442" spans="1:8" ht="22.5" customHeight="1">
      <c r="A442" s="160"/>
      <c r="B442" s="161"/>
      <c r="C442" s="161"/>
      <c r="D442" s="163">
        <f>IFERROR(AkquiseTracking[[#This Row],[Wählversuche]]/AkquiseTracking[[#This Row],[Gespräche mit Empfang]],0)</f>
        <v>0</v>
      </c>
      <c r="E442" s="161"/>
      <c r="F442" s="163">
        <f>IFERROR(AkquiseTracking[[#This Row],[Gespräche mit Entscheider]]/AkquiseTracking[[#This Row],[Gespräche mit Empfang]],0)</f>
        <v>0</v>
      </c>
      <c r="G442" s="161"/>
      <c r="H442" s="163">
        <f>IFERROR(AkquiseTracking[[#This Row],[Termine vereinbart]]/AkquiseTracking[[#This Row],[Gespräche mit Empfang]],0)</f>
        <v>0</v>
      </c>
    </row>
    <row r="443" spans="1:8" ht="22.5" customHeight="1">
      <c r="A443" s="160"/>
      <c r="B443" s="161"/>
      <c r="C443" s="161"/>
      <c r="D443" s="163">
        <f>IFERROR(AkquiseTracking[[#This Row],[Wählversuche]]/AkquiseTracking[[#This Row],[Gespräche mit Empfang]],0)</f>
        <v>0</v>
      </c>
      <c r="E443" s="161"/>
      <c r="F443" s="163">
        <f>IFERROR(AkquiseTracking[[#This Row],[Gespräche mit Entscheider]]/AkquiseTracking[[#This Row],[Gespräche mit Empfang]],0)</f>
        <v>0</v>
      </c>
      <c r="G443" s="161"/>
      <c r="H443" s="163">
        <f>IFERROR(AkquiseTracking[[#This Row],[Termine vereinbart]]/AkquiseTracking[[#This Row],[Gespräche mit Empfang]],0)</f>
        <v>0</v>
      </c>
    </row>
    <row r="444" spans="1:8" ht="22.5" customHeight="1">
      <c r="A444" s="160"/>
      <c r="B444" s="161"/>
      <c r="C444" s="161"/>
      <c r="D444" s="163">
        <f>IFERROR(AkquiseTracking[[#This Row],[Wählversuche]]/AkquiseTracking[[#This Row],[Gespräche mit Empfang]],0)</f>
        <v>0</v>
      </c>
      <c r="E444" s="161"/>
      <c r="F444" s="163">
        <f>IFERROR(AkquiseTracking[[#This Row],[Gespräche mit Entscheider]]/AkquiseTracking[[#This Row],[Gespräche mit Empfang]],0)</f>
        <v>0</v>
      </c>
      <c r="G444" s="161"/>
      <c r="H444" s="163">
        <f>IFERROR(AkquiseTracking[[#This Row],[Termine vereinbart]]/AkquiseTracking[[#This Row],[Gespräche mit Empfang]],0)</f>
        <v>0</v>
      </c>
    </row>
    <row r="445" spans="1:8" ht="22.5" customHeight="1">
      <c r="A445" s="160"/>
      <c r="B445" s="161"/>
      <c r="C445" s="161"/>
      <c r="D445" s="163">
        <f>IFERROR(AkquiseTracking[[#This Row],[Wählversuche]]/AkquiseTracking[[#This Row],[Gespräche mit Empfang]],0)</f>
        <v>0</v>
      </c>
      <c r="E445" s="161"/>
      <c r="F445" s="163">
        <f>IFERROR(AkquiseTracking[[#This Row],[Gespräche mit Entscheider]]/AkquiseTracking[[#This Row],[Gespräche mit Empfang]],0)</f>
        <v>0</v>
      </c>
      <c r="G445" s="161"/>
      <c r="H445" s="163">
        <f>IFERROR(AkquiseTracking[[#This Row],[Termine vereinbart]]/AkquiseTracking[[#This Row],[Gespräche mit Empfang]],0)</f>
        <v>0</v>
      </c>
    </row>
    <row r="446" spans="1:8" ht="22.5" customHeight="1">
      <c r="A446" s="160"/>
      <c r="B446" s="161"/>
      <c r="C446" s="161"/>
      <c r="D446" s="163">
        <f>IFERROR(AkquiseTracking[[#This Row],[Wählversuche]]/AkquiseTracking[[#This Row],[Gespräche mit Empfang]],0)</f>
        <v>0</v>
      </c>
      <c r="E446" s="161"/>
      <c r="F446" s="163">
        <f>IFERROR(AkquiseTracking[[#This Row],[Gespräche mit Entscheider]]/AkquiseTracking[[#This Row],[Gespräche mit Empfang]],0)</f>
        <v>0</v>
      </c>
      <c r="G446" s="161"/>
      <c r="H446" s="163">
        <f>IFERROR(AkquiseTracking[[#This Row],[Termine vereinbart]]/AkquiseTracking[[#This Row],[Gespräche mit Empfang]],0)</f>
        <v>0</v>
      </c>
    </row>
    <row r="447" spans="1:8" ht="22.5" customHeight="1">
      <c r="A447" s="160"/>
      <c r="B447" s="161"/>
      <c r="C447" s="161"/>
      <c r="D447" s="163">
        <f>IFERROR(AkquiseTracking[[#This Row],[Wählversuche]]/AkquiseTracking[[#This Row],[Gespräche mit Empfang]],0)</f>
        <v>0</v>
      </c>
      <c r="E447" s="161"/>
      <c r="F447" s="163">
        <f>IFERROR(AkquiseTracking[[#This Row],[Gespräche mit Entscheider]]/AkquiseTracking[[#This Row],[Gespräche mit Empfang]],0)</f>
        <v>0</v>
      </c>
      <c r="G447" s="161"/>
      <c r="H447" s="163">
        <f>IFERROR(AkquiseTracking[[#This Row],[Termine vereinbart]]/AkquiseTracking[[#This Row],[Gespräche mit Empfang]],0)</f>
        <v>0</v>
      </c>
    </row>
    <row r="448" spans="1:8" ht="22.5" customHeight="1">
      <c r="A448" s="160"/>
      <c r="B448" s="161"/>
      <c r="C448" s="161"/>
      <c r="D448" s="163">
        <f>IFERROR(AkquiseTracking[[#This Row],[Wählversuche]]/AkquiseTracking[[#This Row],[Gespräche mit Empfang]],0)</f>
        <v>0</v>
      </c>
      <c r="E448" s="161"/>
      <c r="F448" s="163">
        <f>IFERROR(AkquiseTracking[[#This Row],[Gespräche mit Entscheider]]/AkquiseTracking[[#This Row],[Gespräche mit Empfang]],0)</f>
        <v>0</v>
      </c>
      <c r="G448" s="161"/>
      <c r="H448" s="163">
        <f>IFERROR(AkquiseTracking[[#This Row],[Termine vereinbart]]/AkquiseTracking[[#This Row],[Gespräche mit Empfang]],0)</f>
        <v>0</v>
      </c>
    </row>
    <row r="449" spans="1:8" ht="22.5" customHeight="1">
      <c r="A449" s="160"/>
      <c r="B449" s="161"/>
      <c r="C449" s="161"/>
      <c r="D449" s="163">
        <f>IFERROR(AkquiseTracking[[#This Row],[Wählversuche]]/AkquiseTracking[[#This Row],[Gespräche mit Empfang]],0)</f>
        <v>0</v>
      </c>
      <c r="E449" s="161"/>
      <c r="F449" s="163">
        <f>IFERROR(AkquiseTracking[[#This Row],[Gespräche mit Entscheider]]/AkquiseTracking[[#This Row],[Gespräche mit Empfang]],0)</f>
        <v>0</v>
      </c>
      <c r="G449" s="161"/>
      <c r="H449" s="163">
        <f>IFERROR(AkquiseTracking[[#This Row],[Termine vereinbart]]/AkquiseTracking[[#This Row],[Gespräche mit Empfang]],0)</f>
        <v>0</v>
      </c>
    </row>
    <row r="450" spans="1:8" ht="22.5" customHeight="1">
      <c r="A450" s="160"/>
      <c r="B450" s="161"/>
      <c r="C450" s="161"/>
      <c r="D450" s="163">
        <f>IFERROR(AkquiseTracking[[#This Row],[Wählversuche]]/AkquiseTracking[[#This Row],[Gespräche mit Empfang]],0)</f>
        <v>0</v>
      </c>
      <c r="E450" s="161"/>
      <c r="F450" s="163">
        <f>IFERROR(AkquiseTracking[[#This Row],[Gespräche mit Entscheider]]/AkquiseTracking[[#This Row],[Gespräche mit Empfang]],0)</f>
        <v>0</v>
      </c>
      <c r="G450" s="161"/>
      <c r="H450" s="163">
        <f>IFERROR(AkquiseTracking[[#This Row],[Termine vereinbart]]/AkquiseTracking[[#This Row],[Gespräche mit Empfang]],0)</f>
        <v>0</v>
      </c>
    </row>
    <row r="451" spans="1:8" ht="22.5" customHeight="1">
      <c r="A451" s="160"/>
      <c r="B451" s="161"/>
      <c r="C451" s="161"/>
      <c r="D451" s="163">
        <f>IFERROR(AkquiseTracking[[#This Row],[Wählversuche]]/AkquiseTracking[[#This Row],[Gespräche mit Empfang]],0)</f>
        <v>0</v>
      </c>
      <c r="E451" s="161"/>
      <c r="F451" s="163">
        <f>IFERROR(AkquiseTracking[[#This Row],[Gespräche mit Entscheider]]/AkquiseTracking[[#This Row],[Gespräche mit Empfang]],0)</f>
        <v>0</v>
      </c>
      <c r="G451" s="161"/>
      <c r="H451" s="163">
        <f>IFERROR(AkquiseTracking[[#This Row],[Termine vereinbart]]/AkquiseTracking[[#This Row],[Gespräche mit Empfang]],0)</f>
        <v>0</v>
      </c>
    </row>
    <row r="452" spans="1:8" ht="22.5" customHeight="1">
      <c r="A452" s="160"/>
      <c r="B452" s="161"/>
      <c r="C452" s="161"/>
      <c r="D452" s="163">
        <f>IFERROR(AkquiseTracking[[#This Row],[Wählversuche]]/AkquiseTracking[[#This Row],[Gespräche mit Empfang]],0)</f>
        <v>0</v>
      </c>
      <c r="E452" s="161"/>
      <c r="F452" s="163">
        <f>IFERROR(AkquiseTracking[[#This Row],[Gespräche mit Entscheider]]/AkquiseTracking[[#This Row],[Gespräche mit Empfang]],0)</f>
        <v>0</v>
      </c>
      <c r="G452" s="161"/>
      <c r="H452" s="163">
        <f>IFERROR(AkquiseTracking[[#This Row],[Termine vereinbart]]/AkquiseTracking[[#This Row],[Gespräche mit Empfang]],0)</f>
        <v>0</v>
      </c>
    </row>
    <row r="453" spans="1:8" ht="22.5" customHeight="1">
      <c r="A453" s="160"/>
      <c r="B453" s="161"/>
      <c r="C453" s="161"/>
      <c r="D453" s="163">
        <f>IFERROR(AkquiseTracking[[#This Row],[Wählversuche]]/AkquiseTracking[[#This Row],[Gespräche mit Empfang]],0)</f>
        <v>0</v>
      </c>
      <c r="E453" s="161"/>
      <c r="F453" s="163">
        <f>IFERROR(AkquiseTracking[[#This Row],[Gespräche mit Entscheider]]/AkquiseTracking[[#This Row],[Gespräche mit Empfang]],0)</f>
        <v>0</v>
      </c>
      <c r="G453" s="161"/>
      <c r="H453" s="163">
        <f>IFERROR(AkquiseTracking[[#This Row],[Termine vereinbart]]/AkquiseTracking[[#This Row],[Gespräche mit Empfang]],0)</f>
        <v>0</v>
      </c>
    </row>
    <row r="454" spans="1:8" ht="22.5" customHeight="1">
      <c r="A454" s="160"/>
      <c r="B454" s="161"/>
      <c r="C454" s="161"/>
      <c r="D454" s="163">
        <f>IFERROR(AkquiseTracking[[#This Row],[Wählversuche]]/AkquiseTracking[[#This Row],[Gespräche mit Empfang]],0)</f>
        <v>0</v>
      </c>
      <c r="E454" s="161"/>
      <c r="F454" s="163">
        <f>IFERROR(AkquiseTracking[[#This Row],[Gespräche mit Entscheider]]/AkquiseTracking[[#This Row],[Gespräche mit Empfang]],0)</f>
        <v>0</v>
      </c>
      <c r="G454" s="161"/>
      <c r="H454" s="163">
        <f>IFERROR(AkquiseTracking[[#This Row],[Termine vereinbart]]/AkquiseTracking[[#This Row],[Gespräche mit Empfang]],0)</f>
        <v>0</v>
      </c>
    </row>
    <row r="455" spans="1:8" ht="22.5" customHeight="1">
      <c r="A455" s="160"/>
      <c r="B455" s="161"/>
      <c r="C455" s="161"/>
      <c r="D455" s="163">
        <f>IFERROR(AkquiseTracking[[#This Row],[Wählversuche]]/AkquiseTracking[[#This Row],[Gespräche mit Empfang]],0)</f>
        <v>0</v>
      </c>
      <c r="E455" s="161"/>
      <c r="F455" s="163">
        <f>IFERROR(AkquiseTracking[[#This Row],[Gespräche mit Entscheider]]/AkquiseTracking[[#This Row],[Gespräche mit Empfang]],0)</f>
        <v>0</v>
      </c>
      <c r="G455" s="161"/>
      <c r="H455" s="163">
        <f>IFERROR(AkquiseTracking[[#This Row],[Termine vereinbart]]/AkquiseTracking[[#This Row],[Gespräche mit Empfang]],0)</f>
        <v>0</v>
      </c>
    </row>
    <row r="456" spans="1:8" ht="22.5" customHeight="1">
      <c r="A456" s="160"/>
      <c r="B456" s="161"/>
      <c r="C456" s="161"/>
      <c r="D456" s="163">
        <f>IFERROR(AkquiseTracking[[#This Row],[Wählversuche]]/AkquiseTracking[[#This Row],[Gespräche mit Empfang]],0)</f>
        <v>0</v>
      </c>
      <c r="E456" s="161"/>
      <c r="F456" s="163">
        <f>IFERROR(AkquiseTracking[[#This Row],[Gespräche mit Entscheider]]/AkquiseTracking[[#This Row],[Gespräche mit Empfang]],0)</f>
        <v>0</v>
      </c>
      <c r="G456" s="161"/>
      <c r="H456" s="163">
        <f>IFERROR(AkquiseTracking[[#This Row],[Termine vereinbart]]/AkquiseTracking[[#This Row],[Gespräche mit Empfang]],0)</f>
        <v>0</v>
      </c>
    </row>
    <row r="457" spans="1:8" ht="22.5" customHeight="1">
      <c r="A457" s="160"/>
      <c r="B457" s="161"/>
      <c r="C457" s="161"/>
      <c r="D457" s="163">
        <f>IFERROR(AkquiseTracking[[#This Row],[Wählversuche]]/AkquiseTracking[[#This Row],[Gespräche mit Empfang]],0)</f>
        <v>0</v>
      </c>
      <c r="E457" s="161"/>
      <c r="F457" s="163">
        <f>IFERROR(AkquiseTracking[[#This Row],[Gespräche mit Entscheider]]/AkquiseTracking[[#This Row],[Gespräche mit Empfang]],0)</f>
        <v>0</v>
      </c>
      <c r="G457" s="161"/>
      <c r="H457" s="163">
        <f>IFERROR(AkquiseTracking[[#This Row],[Termine vereinbart]]/AkquiseTracking[[#This Row],[Gespräche mit Empfang]],0)</f>
        <v>0</v>
      </c>
    </row>
    <row r="458" spans="1:8" ht="22.5" customHeight="1">
      <c r="A458" s="160"/>
      <c r="B458" s="161"/>
      <c r="C458" s="161"/>
      <c r="D458" s="163">
        <f>IFERROR(AkquiseTracking[[#This Row],[Wählversuche]]/AkquiseTracking[[#This Row],[Gespräche mit Empfang]],0)</f>
        <v>0</v>
      </c>
      <c r="E458" s="161"/>
      <c r="F458" s="163">
        <f>IFERROR(AkquiseTracking[[#This Row],[Gespräche mit Entscheider]]/AkquiseTracking[[#This Row],[Gespräche mit Empfang]],0)</f>
        <v>0</v>
      </c>
      <c r="G458" s="161"/>
      <c r="H458" s="163">
        <f>IFERROR(AkquiseTracking[[#This Row],[Termine vereinbart]]/AkquiseTracking[[#This Row],[Gespräche mit Empfang]],0)</f>
        <v>0</v>
      </c>
    </row>
    <row r="459" spans="1:8" ht="22.5" customHeight="1">
      <c r="A459" s="160"/>
      <c r="B459" s="161"/>
      <c r="C459" s="161"/>
      <c r="D459" s="163">
        <f>IFERROR(AkquiseTracking[[#This Row],[Wählversuche]]/AkquiseTracking[[#This Row],[Gespräche mit Empfang]],0)</f>
        <v>0</v>
      </c>
      <c r="E459" s="161"/>
      <c r="F459" s="163">
        <f>IFERROR(AkquiseTracking[[#This Row],[Gespräche mit Entscheider]]/AkquiseTracking[[#This Row],[Gespräche mit Empfang]],0)</f>
        <v>0</v>
      </c>
      <c r="G459" s="161"/>
      <c r="H459" s="163">
        <f>IFERROR(AkquiseTracking[[#This Row],[Termine vereinbart]]/AkquiseTracking[[#This Row],[Gespräche mit Empfang]],0)</f>
        <v>0</v>
      </c>
    </row>
    <row r="460" spans="1:8" ht="22.5" customHeight="1">
      <c r="A460" s="160"/>
      <c r="B460" s="161"/>
      <c r="C460" s="161"/>
      <c r="D460" s="163">
        <f>IFERROR(AkquiseTracking[[#This Row],[Wählversuche]]/AkquiseTracking[[#This Row],[Gespräche mit Empfang]],0)</f>
        <v>0</v>
      </c>
      <c r="E460" s="161"/>
      <c r="F460" s="163">
        <f>IFERROR(AkquiseTracking[[#This Row],[Gespräche mit Entscheider]]/AkquiseTracking[[#This Row],[Gespräche mit Empfang]],0)</f>
        <v>0</v>
      </c>
      <c r="G460" s="161"/>
      <c r="H460" s="163">
        <f>IFERROR(AkquiseTracking[[#This Row],[Termine vereinbart]]/AkquiseTracking[[#This Row],[Gespräche mit Empfang]],0)</f>
        <v>0</v>
      </c>
    </row>
    <row r="461" spans="1:8" ht="22.5" customHeight="1">
      <c r="A461" s="160"/>
      <c r="B461" s="161"/>
      <c r="C461" s="161"/>
      <c r="D461" s="163">
        <f>IFERROR(AkquiseTracking[[#This Row],[Wählversuche]]/AkquiseTracking[[#This Row],[Gespräche mit Empfang]],0)</f>
        <v>0</v>
      </c>
      <c r="E461" s="161"/>
      <c r="F461" s="163">
        <f>IFERROR(AkquiseTracking[[#This Row],[Gespräche mit Entscheider]]/AkquiseTracking[[#This Row],[Gespräche mit Empfang]],0)</f>
        <v>0</v>
      </c>
      <c r="G461" s="161"/>
      <c r="H461" s="163">
        <f>IFERROR(AkquiseTracking[[#This Row],[Termine vereinbart]]/AkquiseTracking[[#This Row],[Gespräche mit Empfang]],0)</f>
        <v>0</v>
      </c>
    </row>
    <row r="462" spans="1:8" ht="22.5" customHeight="1">
      <c r="A462" s="160"/>
      <c r="B462" s="161"/>
      <c r="C462" s="161"/>
      <c r="D462" s="163">
        <f>IFERROR(AkquiseTracking[[#This Row],[Wählversuche]]/AkquiseTracking[[#This Row],[Gespräche mit Empfang]],0)</f>
        <v>0</v>
      </c>
      <c r="E462" s="161"/>
      <c r="F462" s="163">
        <f>IFERROR(AkquiseTracking[[#This Row],[Gespräche mit Entscheider]]/AkquiseTracking[[#This Row],[Gespräche mit Empfang]],0)</f>
        <v>0</v>
      </c>
      <c r="G462" s="161"/>
      <c r="H462" s="163">
        <f>IFERROR(AkquiseTracking[[#This Row],[Termine vereinbart]]/AkquiseTracking[[#This Row],[Gespräche mit Empfang]],0)</f>
        <v>0</v>
      </c>
    </row>
    <row r="463" spans="1:8" ht="22.5" customHeight="1">
      <c r="A463" s="160"/>
      <c r="B463" s="161"/>
      <c r="C463" s="161"/>
      <c r="D463" s="163">
        <f>IFERROR(AkquiseTracking[[#This Row],[Wählversuche]]/AkquiseTracking[[#This Row],[Gespräche mit Empfang]],0)</f>
        <v>0</v>
      </c>
      <c r="E463" s="161"/>
      <c r="F463" s="163">
        <f>IFERROR(AkquiseTracking[[#This Row],[Gespräche mit Entscheider]]/AkquiseTracking[[#This Row],[Gespräche mit Empfang]],0)</f>
        <v>0</v>
      </c>
      <c r="G463" s="161"/>
      <c r="H463" s="163">
        <f>IFERROR(AkquiseTracking[[#This Row],[Termine vereinbart]]/AkquiseTracking[[#This Row],[Gespräche mit Empfang]],0)</f>
        <v>0</v>
      </c>
    </row>
    <row r="464" spans="1:8" ht="22.5" customHeight="1">
      <c r="A464" s="160"/>
      <c r="B464" s="161"/>
      <c r="C464" s="161"/>
      <c r="D464" s="163">
        <f>IFERROR(AkquiseTracking[[#This Row],[Wählversuche]]/AkquiseTracking[[#This Row],[Gespräche mit Empfang]],0)</f>
        <v>0</v>
      </c>
      <c r="E464" s="161"/>
      <c r="F464" s="163">
        <f>IFERROR(AkquiseTracking[[#This Row],[Gespräche mit Entscheider]]/AkquiseTracking[[#This Row],[Gespräche mit Empfang]],0)</f>
        <v>0</v>
      </c>
      <c r="G464" s="161"/>
      <c r="H464" s="163">
        <f>IFERROR(AkquiseTracking[[#This Row],[Termine vereinbart]]/AkquiseTracking[[#This Row],[Gespräche mit Empfang]],0)</f>
        <v>0</v>
      </c>
    </row>
    <row r="465" spans="1:8" ht="22.5" customHeight="1">
      <c r="A465" s="160"/>
      <c r="B465" s="161"/>
      <c r="C465" s="161"/>
      <c r="D465" s="163">
        <f>IFERROR(AkquiseTracking[[#This Row],[Wählversuche]]/AkquiseTracking[[#This Row],[Gespräche mit Empfang]],0)</f>
        <v>0</v>
      </c>
      <c r="E465" s="161"/>
      <c r="F465" s="163">
        <f>IFERROR(AkquiseTracking[[#This Row],[Gespräche mit Entscheider]]/AkquiseTracking[[#This Row],[Gespräche mit Empfang]],0)</f>
        <v>0</v>
      </c>
      <c r="G465" s="161"/>
      <c r="H465" s="163">
        <f>IFERROR(AkquiseTracking[[#This Row],[Termine vereinbart]]/AkquiseTracking[[#This Row],[Gespräche mit Empfang]],0)</f>
        <v>0</v>
      </c>
    </row>
    <row r="466" spans="1:8" ht="22.5" customHeight="1">
      <c r="A466" s="160"/>
      <c r="B466" s="161"/>
      <c r="C466" s="161"/>
      <c r="D466" s="163">
        <f>IFERROR(AkquiseTracking[[#This Row],[Wählversuche]]/AkquiseTracking[[#This Row],[Gespräche mit Empfang]],0)</f>
        <v>0</v>
      </c>
      <c r="E466" s="161"/>
      <c r="F466" s="163">
        <f>IFERROR(AkquiseTracking[[#This Row],[Gespräche mit Entscheider]]/AkquiseTracking[[#This Row],[Gespräche mit Empfang]],0)</f>
        <v>0</v>
      </c>
      <c r="G466" s="161"/>
      <c r="H466" s="163">
        <f>IFERROR(AkquiseTracking[[#This Row],[Termine vereinbart]]/AkquiseTracking[[#This Row],[Gespräche mit Empfang]],0)</f>
        <v>0</v>
      </c>
    </row>
    <row r="467" spans="1:8" ht="22.5" customHeight="1">
      <c r="A467" s="160"/>
      <c r="B467" s="161"/>
      <c r="C467" s="161"/>
      <c r="D467" s="163">
        <f>IFERROR(AkquiseTracking[[#This Row],[Wählversuche]]/AkquiseTracking[[#This Row],[Gespräche mit Empfang]],0)</f>
        <v>0</v>
      </c>
      <c r="E467" s="161"/>
      <c r="F467" s="163">
        <f>IFERROR(AkquiseTracking[[#This Row],[Gespräche mit Entscheider]]/AkquiseTracking[[#This Row],[Gespräche mit Empfang]],0)</f>
        <v>0</v>
      </c>
      <c r="G467" s="161"/>
      <c r="H467" s="163">
        <f>IFERROR(AkquiseTracking[[#This Row],[Termine vereinbart]]/AkquiseTracking[[#This Row],[Gespräche mit Empfang]],0)</f>
        <v>0</v>
      </c>
    </row>
    <row r="468" spans="1:8" ht="22.5" customHeight="1">
      <c r="A468" s="160"/>
      <c r="B468" s="161"/>
      <c r="C468" s="161"/>
      <c r="D468" s="163">
        <f>IFERROR(AkquiseTracking[[#This Row],[Wählversuche]]/AkquiseTracking[[#This Row],[Gespräche mit Empfang]],0)</f>
        <v>0</v>
      </c>
      <c r="E468" s="161"/>
      <c r="F468" s="163">
        <f>IFERROR(AkquiseTracking[[#This Row],[Gespräche mit Entscheider]]/AkquiseTracking[[#This Row],[Gespräche mit Empfang]],0)</f>
        <v>0</v>
      </c>
      <c r="G468" s="161"/>
      <c r="H468" s="163">
        <f>IFERROR(AkquiseTracking[[#This Row],[Termine vereinbart]]/AkquiseTracking[[#This Row],[Gespräche mit Empfang]],0)</f>
        <v>0</v>
      </c>
    </row>
    <row r="469" spans="1:8" ht="22.5" customHeight="1">
      <c r="A469" s="160"/>
      <c r="B469" s="161"/>
      <c r="C469" s="161"/>
      <c r="D469" s="163">
        <f>IFERROR(AkquiseTracking[[#This Row],[Wählversuche]]/AkquiseTracking[[#This Row],[Gespräche mit Empfang]],0)</f>
        <v>0</v>
      </c>
      <c r="E469" s="161"/>
      <c r="F469" s="163">
        <f>IFERROR(AkquiseTracking[[#This Row],[Gespräche mit Entscheider]]/AkquiseTracking[[#This Row],[Gespräche mit Empfang]],0)</f>
        <v>0</v>
      </c>
      <c r="G469" s="161"/>
      <c r="H469" s="163">
        <f>IFERROR(AkquiseTracking[[#This Row],[Termine vereinbart]]/AkquiseTracking[[#This Row],[Gespräche mit Empfang]],0)</f>
        <v>0</v>
      </c>
    </row>
    <row r="470" spans="1:8" ht="22.5" customHeight="1">
      <c r="A470" s="160"/>
      <c r="B470" s="161"/>
      <c r="C470" s="161"/>
      <c r="D470" s="163">
        <f>IFERROR(AkquiseTracking[[#This Row],[Wählversuche]]/AkquiseTracking[[#This Row],[Gespräche mit Empfang]],0)</f>
        <v>0</v>
      </c>
      <c r="E470" s="161"/>
      <c r="F470" s="163">
        <f>IFERROR(AkquiseTracking[[#This Row],[Gespräche mit Entscheider]]/AkquiseTracking[[#This Row],[Gespräche mit Empfang]],0)</f>
        <v>0</v>
      </c>
      <c r="G470" s="161"/>
      <c r="H470" s="163">
        <f>IFERROR(AkquiseTracking[[#This Row],[Termine vereinbart]]/AkquiseTracking[[#This Row],[Gespräche mit Empfang]],0)</f>
        <v>0</v>
      </c>
    </row>
    <row r="471" spans="1:8" ht="22.5" customHeight="1">
      <c r="A471" s="160"/>
      <c r="B471" s="161"/>
      <c r="C471" s="161"/>
      <c r="D471" s="163">
        <f>IFERROR(AkquiseTracking[[#This Row],[Wählversuche]]/AkquiseTracking[[#This Row],[Gespräche mit Empfang]],0)</f>
        <v>0</v>
      </c>
      <c r="E471" s="161"/>
      <c r="F471" s="163">
        <f>IFERROR(AkquiseTracking[[#This Row],[Gespräche mit Entscheider]]/AkquiseTracking[[#This Row],[Gespräche mit Empfang]],0)</f>
        <v>0</v>
      </c>
      <c r="G471" s="161"/>
      <c r="H471" s="163">
        <f>IFERROR(AkquiseTracking[[#This Row],[Termine vereinbart]]/AkquiseTracking[[#This Row],[Gespräche mit Empfang]],0)</f>
        <v>0</v>
      </c>
    </row>
    <row r="472" spans="1:8" ht="22.5" customHeight="1">
      <c r="A472" s="160"/>
      <c r="B472" s="161"/>
      <c r="C472" s="161"/>
      <c r="D472" s="163">
        <f>IFERROR(AkquiseTracking[[#This Row],[Wählversuche]]/AkquiseTracking[[#This Row],[Gespräche mit Empfang]],0)</f>
        <v>0</v>
      </c>
      <c r="E472" s="161"/>
      <c r="F472" s="163">
        <f>IFERROR(AkquiseTracking[[#This Row],[Gespräche mit Entscheider]]/AkquiseTracking[[#This Row],[Gespräche mit Empfang]],0)</f>
        <v>0</v>
      </c>
      <c r="G472" s="161"/>
      <c r="H472" s="163">
        <f>IFERROR(AkquiseTracking[[#This Row],[Termine vereinbart]]/AkquiseTracking[[#This Row],[Gespräche mit Empfang]],0)</f>
        <v>0</v>
      </c>
    </row>
    <row r="473" spans="1:8" ht="22.5" customHeight="1">
      <c r="A473" s="160"/>
      <c r="B473" s="161"/>
      <c r="C473" s="161"/>
      <c r="D473" s="163">
        <f>IFERROR(AkquiseTracking[[#This Row],[Wählversuche]]/AkquiseTracking[[#This Row],[Gespräche mit Empfang]],0)</f>
        <v>0</v>
      </c>
      <c r="E473" s="161"/>
      <c r="F473" s="163">
        <f>IFERROR(AkquiseTracking[[#This Row],[Gespräche mit Entscheider]]/AkquiseTracking[[#This Row],[Gespräche mit Empfang]],0)</f>
        <v>0</v>
      </c>
      <c r="G473" s="161"/>
      <c r="H473" s="163">
        <f>IFERROR(AkquiseTracking[[#This Row],[Termine vereinbart]]/AkquiseTracking[[#This Row],[Gespräche mit Empfang]],0)</f>
        <v>0</v>
      </c>
    </row>
    <row r="474" spans="1:8" ht="22.5" customHeight="1">
      <c r="A474" s="160"/>
      <c r="B474" s="161"/>
      <c r="C474" s="161"/>
      <c r="D474" s="163">
        <f>IFERROR(AkquiseTracking[[#This Row],[Wählversuche]]/AkquiseTracking[[#This Row],[Gespräche mit Empfang]],0)</f>
        <v>0</v>
      </c>
      <c r="E474" s="161"/>
      <c r="F474" s="163">
        <f>IFERROR(AkquiseTracking[[#This Row],[Gespräche mit Entscheider]]/AkquiseTracking[[#This Row],[Gespräche mit Empfang]],0)</f>
        <v>0</v>
      </c>
      <c r="G474" s="161"/>
      <c r="H474" s="163">
        <f>IFERROR(AkquiseTracking[[#This Row],[Termine vereinbart]]/AkquiseTracking[[#This Row],[Gespräche mit Empfang]],0)</f>
        <v>0</v>
      </c>
    </row>
    <row r="475" spans="1:8" ht="22.5" customHeight="1">
      <c r="A475" s="160"/>
      <c r="B475" s="161"/>
      <c r="C475" s="161"/>
      <c r="D475" s="163">
        <f>IFERROR(AkquiseTracking[[#This Row],[Wählversuche]]/AkquiseTracking[[#This Row],[Gespräche mit Empfang]],0)</f>
        <v>0</v>
      </c>
      <c r="E475" s="161"/>
      <c r="F475" s="163">
        <f>IFERROR(AkquiseTracking[[#This Row],[Gespräche mit Entscheider]]/AkquiseTracking[[#This Row],[Gespräche mit Empfang]],0)</f>
        <v>0</v>
      </c>
      <c r="G475" s="161"/>
      <c r="H475" s="163">
        <f>IFERROR(AkquiseTracking[[#This Row],[Termine vereinbart]]/AkquiseTracking[[#This Row],[Gespräche mit Empfang]],0)</f>
        <v>0</v>
      </c>
    </row>
    <row r="476" spans="1:8" ht="22.5" customHeight="1">
      <c r="A476" s="160"/>
      <c r="B476" s="161"/>
      <c r="C476" s="161"/>
      <c r="D476" s="163">
        <f>IFERROR(AkquiseTracking[[#This Row],[Wählversuche]]/AkquiseTracking[[#This Row],[Gespräche mit Empfang]],0)</f>
        <v>0</v>
      </c>
      <c r="E476" s="161"/>
      <c r="F476" s="163">
        <f>IFERROR(AkquiseTracking[[#This Row],[Gespräche mit Entscheider]]/AkquiseTracking[[#This Row],[Gespräche mit Empfang]],0)</f>
        <v>0</v>
      </c>
      <c r="G476" s="161"/>
      <c r="H476" s="163">
        <f>IFERROR(AkquiseTracking[[#This Row],[Termine vereinbart]]/AkquiseTracking[[#This Row],[Gespräche mit Empfang]],0)</f>
        <v>0</v>
      </c>
    </row>
    <row r="477" spans="1:8" ht="22.5" customHeight="1">
      <c r="A477" s="160"/>
      <c r="B477" s="161"/>
      <c r="C477" s="161"/>
      <c r="D477" s="163">
        <f>IFERROR(AkquiseTracking[[#This Row],[Wählversuche]]/AkquiseTracking[[#This Row],[Gespräche mit Empfang]],0)</f>
        <v>0</v>
      </c>
      <c r="E477" s="161"/>
      <c r="F477" s="163">
        <f>IFERROR(AkquiseTracking[[#This Row],[Gespräche mit Entscheider]]/AkquiseTracking[[#This Row],[Gespräche mit Empfang]],0)</f>
        <v>0</v>
      </c>
      <c r="G477" s="161"/>
      <c r="H477" s="163">
        <f>IFERROR(AkquiseTracking[[#This Row],[Termine vereinbart]]/AkquiseTracking[[#This Row],[Gespräche mit Empfang]],0)</f>
        <v>0</v>
      </c>
    </row>
    <row r="478" spans="1:8" ht="22.5" customHeight="1">
      <c r="A478" s="160"/>
      <c r="B478" s="161"/>
      <c r="C478" s="161"/>
      <c r="D478" s="163">
        <f>IFERROR(AkquiseTracking[[#This Row],[Wählversuche]]/AkquiseTracking[[#This Row],[Gespräche mit Empfang]],0)</f>
        <v>0</v>
      </c>
      <c r="E478" s="161"/>
      <c r="F478" s="163">
        <f>IFERROR(AkquiseTracking[[#This Row],[Gespräche mit Entscheider]]/AkquiseTracking[[#This Row],[Gespräche mit Empfang]],0)</f>
        <v>0</v>
      </c>
      <c r="G478" s="161"/>
      <c r="H478" s="163">
        <f>IFERROR(AkquiseTracking[[#This Row],[Termine vereinbart]]/AkquiseTracking[[#This Row],[Gespräche mit Empfang]],0)</f>
        <v>0</v>
      </c>
    </row>
    <row r="479" spans="1:8" ht="22.5" customHeight="1">
      <c r="A479" s="160"/>
      <c r="B479" s="161"/>
      <c r="C479" s="161"/>
      <c r="D479" s="163">
        <f>IFERROR(AkquiseTracking[[#This Row],[Wählversuche]]/AkquiseTracking[[#This Row],[Gespräche mit Empfang]],0)</f>
        <v>0</v>
      </c>
      <c r="E479" s="161"/>
      <c r="F479" s="163">
        <f>IFERROR(AkquiseTracking[[#This Row],[Gespräche mit Entscheider]]/AkquiseTracking[[#This Row],[Gespräche mit Empfang]],0)</f>
        <v>0</v>
      </c>
      <c r="G479" s="161"/>
      <c r="H479" s="163">
        <f>IFERROR(AkquiseTracking[[#This Row],[Termine vereinbart]]/AkquiseTracking[[#This Row],[Gespräche mit Empfang]],0)</f>
        <v>0</v>
      </c>
    </row>
    <row r="480" spans="1:8" ht="22.5" customHeight="1">
      <c r="A480" s="160"/>
      <c r="B480" s="161"/>
      <c r="C480" s="161"/>
      <c r="D480" s="163">
        <f>IFERROR(AkquiseTracking[[#This Row],[Wählversuche]]/AkquiseTracking[[#This Row],[Gespräche mit Empfang]],0)</f>
        <v>0</v>
      </c>
      <c r="E480" s="161"/>
      <c r="F480" s="163">
        <f>IFERROR(AkquiseTracking[[#This Row],[Gespräche mit Entscheider]]/AkquiseTracking[[#This Row],[Gespräche mit Empfang]],0)</f>
        <v>0</v>
      </c>
      <c r="G480" s="161"/>
      <c r="H480" s="163">
        <f>IFERROR(AkquiseTracking[[#This Row],[Termine vereinbart]]/AkquiseTracking[[#This Row],[Gespräche mit Empfang]],0)</f>
        <v>0</v>
      </c>
    </row>
    <row r="481" spans="1:8" ht="22.5" customHeight="1">
      <c r="A481" s="160"/>
      <c r="B481" s="161"/>
      <c r="C481" s="161"/>
      <c r="D481" s="163">
        <f>IFERROR(AkquiseTracking[[#This Row],[Wählversuche]]/AkquiseTracking[[#This Row],[Gespräche mit Empfang]],0)</f>
        <v>0</v>
      </c>
      <c r="E481" s="161"/>
      <c r="F481" s="163">
        <f>IFERROR(AkquiseTracking[[#This Row],[Gespräche mit Entscheider]]/AkquiseTracking[[#This Row],[Gespräche mit Empfang]],0)</f>
        <v>0</v>
      </c>
      <c r="G481" s="161"/>
      <c r="H481" s="163">
        <f>IFERROR(AkquiseTracking[[#This Row],[Termine vereinbart]]/AkquiseTracking[[#This Row],[Gespräche mit Empfang]],0)</f>
        <v>0</v>
      </c>
    </row>
    <row r="482" spans="1:8" ht="22.5" customHeight="1">
      <c r="A482" s="160"/>
      <c r="B482" s="161"/>
      <c r="C482" s="161"/>
      <c r="D482" s="163">
        <f>IFERROR(AkquiseTracking[[#This Row],[Wählversuche]]/AkquiseTracking[[#This Row],[Gespräche mit Empfang]],0)</f>
        <v>0</v>
      </c>
      <c r="E482" s="161"/>
      <c r="F482" s="163">
        <f>IFERROR(AkquiseTracking[[#This Row],[Gespräche mit Entscheider]]/AkquiseTracking[[#This Row],[Gespräche mit Empfang]],0)</f>
        <v>0</v>
      </c>
      <c r="G482" s="161"/>
      <c r="H482" s="163">
        <f>IFERROR(AkquiseTracking[[#This Row],[Termine vereinbart]]/AkquiseTracking[[#This Row],[Gespräche mit Empfang]],0)</f>
        <v>0</v>
      </c>
    </row>
    <row r="483" spans="1:8" ht="22.5" customHeight="1">
      <c r="A483" s="160"/>
      <c r="B483" s="161"/>
      <c r="C483" s="161"/>
      <c r="D483" s="163">
        <f>IFERROR(AkquiseTracking[[#This Row],[Wählversuche]]/AkquiseTracking[[#This Row],[Gespräche mit Empfang]],0)</f>
        <v>0</v>
      </c>
      <c r="E483" s="161"/>
      <c r="F483" s="163">
        <f>IFERROR(AkquiseTracking[[#This Row],[Gespräche mit Entscheider]]/AkquiseTracking[[#This Row],[Gespräche mit Empfang]],0)</f>
        <v>0</v>
      </c>
      <c r="G483" s="161"/>
      <c r="H483" s="163">
        <f>IFERROR(AkquiseTracking[[#This Row],[Termine vereinbart]]/AkquiseTracking[[#This Row],[Gespräche mit Empfang]],0)</f>
        <v>0</v>
      </c>
    </row>
    <row r="484" spans="1:8" ht="22.5" customHeight="1">
      <c r="A484" s="160"/>
      <c r="B484" s="161"/>
      <c r="C484" s="161"/>
      <c r="D484" s="163">
        <f>IFERROR(AkquiseTracking[[#This Row],[Wählversuche]]/AkquiseTracking[[#This Row],[Gespräche mit Empfang]],0)</f>
        <v>0</v>
      </c>
      <c r="E484" s="161"/>
      <c r="F484" s="163">
        <f>IFERROR(AkquiseTracking[[#This Row],[Gespräche mit Entscheider]]/AkquiseTracking[[#This Row],[Gespräche mit Empfang]],0)</f>
        <v>0</v>
      </c>
      <c r="G484" s="161"/>
      <c r="H484" s="163">
        <f>IFERROR(AkquiseTracking[[#This Row],[Termine vereinbart]]/AkquiseTracking[[#This Row],[Gespräche mit Empfang]],0)</f>
        <v>0</v>
      </c>
    </row>
    <row r="485" spans="1:8" ht="22.5" customHeight="1">
      <c r="A485" s="160"/>
      <c r="B485" s="161"/>
      <c r="C485" s="161"/>
      <c r="D485" s="163">
        <f>IFERROR(AkquiseTracking[[#This Row],[Wählversuche]]/AkquiseTracking[[#This Row],[Gespräche mit Empfang]],0)</f>
        <v>0</v>
      </c>
      <c r="E485" s="161"/>
      <c r="F485" s="163">
        <f>IFERROR(AkquiseTracking[[#This Row],[Gespräche mit Entscheider]]/AkquiseTracking[[#This Row],[Gespräche mit Empfang]],0)</f>
        <v>0</v>
      </c>
      <c r="G485" s="161"/>
      <c r="H485" s="163">
        <f>IFERROR(AkquiseTracking[[#This Row],[Termine vereinbart]]/AkquiseTracking[[#This Row],[Gespräche mit Empfang]],0)</f>
        <v>0</v>
      </c>
    </row>
    <row r="486" spans="1:8" ht="22.5" customHeight="1">
      <c r="A486" s="160"/>
      <c r="B486" s="161"/>
      <c r="C486" s="161"/>
      <c r="D486" s="163">
        <f>IFERROR(AkquiseTracking[[#This Row],[Wählversuche]]/AkquiseTracking[[#This Row],[Gespräche mit Empfang]],0)</f>
        <v>0</v>
      </c>
      <c r="E486" s="161"/>
      <c r="F486" s="163">
        <f>IFERROR(AkquiseTracking[[#This Row],[Gespräche mit Entscheider]]/AkquiseTracking[[#This Row],[Gespräche mit Empfang]],0)</f>
        <v>0</v>
      </c>
      <c r="G486" s="161"/>
      <c r="H486" s="163">
        <f>IFERROR(AkquiseTracking[[#This Row],[Termine vereinbart]]/AkquiseTracking[[#This Row],[Gespräche mit Empfang]],0)</f>
        <v>0</v>
      </c>
    </row>
    <row r="487" spans="1:8" ht="22.5" customHeight="1">
      <c r="A487" s="160"/>
      <c r="B487" s="161"/>
      <c r="C487" s="161"/>
      <c r="D487" s="163">
        <f>IFERROR(AkquiseTracking[[#This Row],[Wählversuche]]/AkquiseTracking[[#This Row],[Gespräche mit Empfang]],0)</f>
        <v>0</v>
      </c>
      <c r="E487" s="161"/>
      <c r="F487" s="163">
        <f>IFERROR(AkquiseTracking[[#This Row],[Gespräche mit Entscheider]]/AkquiseTracking[[#This Row],[Gespräche mit Empfang]],0)</f>
        <v>0</v>
      </c>
      <c r="G487" s="161"/>
      <c r="H487" s="163">
        <f>IFERROR(AkquiseTracking[[#This Row],[Termine vereinbart]]/AkquiseTracking[[#This Row],[Gespräche mit Empfang]],0)</f>
        <v>0</v>
      </c>
    </row>
    <row r="488" spans="1:8" ht="22.5" customHeight="1">
      <c r="A488" s="160"/>
      <c r="B488" s="161"/>
      <c r="C488" s="161"/>
      <c r="D488" s="163">
        <f>IFERROR(AkquiseTracking[[#This Row],[Wählversuche]]/AkquiseTracking[[#This Row],[Gespräche mit Empfang]],0)</f>
        <v>0</v>
      </c>
      <c r="E488" s="161"/>
      <c r="F488" s="163">
        <f>IFERROR(AkquiseTracking[[#This Row],[Gespräche mit Entscheider]]/AkquiseTracking[[#This Row],[Gespräche mit Empfang]],0)</f>
        <v>0</v>
      </c>
      <c r="G488" s="161"/>
      <c r="H488" s="163">
        <f>IFERROR(AkquiseTracking[[#This Row],[Termine vereinbart]]/AkquiseTracking[[#This Row],[Gespräche mit Empfang]],0)</f>
        <v>0</v>
      </c>
    </row>
    <row r="489" spans="1:8" ht="22.5" customHeight="1">
      <c r="A489" s="160"/>
      <c r="B489" s="161"/>
      <c r="C489" s="161"/>
      <c r="D489" s="163">
        <f>IFERROR(AkquiseTracking[[#This Row],[Wählversuche]]/AkquiseTracking[[#This Row],[Gespräche mit Empfang]],0)</f>
        <v>0</v>
      </c>
      <c r="E489" s="161"/>
      <c r="F489" s="163">
        <f>IFERROR(AkquiseTracking[[#This Row],[Gespräche mit Entscheider]]/AkquiseTracking[[#This Row],[Gespräche mit Empfang]],0)</f>
        <v>0</v>
      </c>
      <c r="G489" s="161"/>
      <c r="H489" s="163">
        <f>IFERROR(AkquiseTracking[[#This Row],[Termine vereinbart]]/AkquiseTracking[[#This Row],[Gespräche mit Empfang]],0)</f>
        <v>0</v>
      </c>
    </row>
    <row r="490" spans="1:8" ht="22.5" customHeight="1">
      <c r="A490" s="160"/>
      <c r="B490" s="161"/>
      <c r="C490" s="161"/>
      <c r="D490" s="163">
        <f>IFERROR(AkquiseTracking[[#This Row],[Wählversuche]]/AkquiseTracking[[#This Row],[Gespräche mit Empfang]],0)</f>
        <v>0</v>
      </c>
      <c r="E490" s="161"/>
      <c r="F490" s="163">
        <f>IFERROR(AkquiseTracking[[#This Row],[Gespräche mit Entscheider]]/AkquiseTracking[[#This Row],[Gespräche mit Empfang]],0)</f>
        <v>0</v>
      </c>
      <c r="G490" s="161"/>
      <c r="H490" s="163">
        <f>IFERROR(AkquiseTracking[[#This Row],[Termine vereinbart]]/AkquiseTracking[[#This Row],[Gespräche mit Empfang]],0)</f>
        <v>0</v>
      </c>
    </row>
    <row r="491" spans="1:8" ht="22.5" customHeight="1">
      <c r="A491" s="160"/>
      <c r="B491" s="161"/>
      <c r="C491" s="161"/>
      <c r="D491" s="163">
        <f>IFERROR(AkquiseTracking[[#This Row],[Wählversuche]]/AkquiseTracking[[#This Row],[Gespräche mit Empfang]],0)</f>
        <v>0</v>
      </c>
      <c r="E491" s="161"/>
      <c r="F491" s="163">
        <f>IFERROR(AkquiseTracking[[#This Row],[Gespräche mit Entscheider]]/AkquiseTracking[[#This Row],[Gespräche mit Empfang]],0)</f>
        <v>0</v>
      </c>
      <c r="G491" s="161"/>
      <c r="H491" s="163">
        <f>IFERROR(AkquiseTracking[[#This Row],[Termine vereinbart]]/AkquiseTracking[[#This Row],[Gespräche mit Empfang]],0)</f>
        <v>0</v>
      </c>
    </row>
    <row r="492" spans="1:8" ht="22.5" customHeight="1">
      <c r="A492" s="160"/>
      <c r="B492" s="161"/>
      <c r="C492" s="161"/>
      <c r="D492" s="163">
        <f>IFERROR(AkquiseTracking[[#This Row],[Wählversuche]]/AkquiseTracking[[#This Row],[Gespräche mit Empfang]],0)</f>
        <v>0</v>
      </c>
      <c r="E492" s="161"/>
      <c r="F492" s="163">
        <f>IFERROR(AkquiseTracking[[#This Row],[Gespräche mit Entscheider]]/AkquiseTracking[[#This Row],[Gespräche mit Empfang]],0)</f>
        <v>0</v>
      </c>
      <c r="G492" s="161"/>
      <c r="H492" s="163">
        <f>IFERROR(AkquiseTracking[[#This Row],[Termine vereinbart]]/AkquiseTracking[[#This Row],[Gespräche mit Empfang]],0)</f>
        <v>0</v>
      </c>
    </row>
    <row r="493" spans="1:8" ht="22.5" customHeight="1">
      <c r="A493" s="160"/>
      <c r="B493" s="161"/>
      <c r="C493" s="161"/>
      <c r="D493" s="163">
        <f>IFERROR(AkquiseTracking[[#This Row],[Wählversuche]]/AkquiseTracking[[#This Row],[Gespräche mit Empfang]],0)</f>
        <v>0</v>
      </c>
      <c r="E493" s="161"/>
      <c r="F493" s="163">
        <f>IFERROR(AkquiseTracking[[#This Row],[Gespräche mit Entscheider]]/AkquiseTracking[[#This Row],[Gespräche mit Empfang]],0)</f>
        <v>0</v>
      </c>
      <c r="G493" s="161"/>
      <c r="H493" s="163">
        <f>IFERROR(AkquiseTracking[[#This Row],[Termine vereinbart]]/AkquiseTracking[[#This Row],[Gespräche mit Empfang]],0)</f>
        <v>0</v>
      </c>
    </row>
    <row r="494" spans="1:8" ht="22.5" customHeight="1">
      <c r="A494" s="160"/>
      <c r="B494" s="161"/>
      <c r="C494" s="161"/>
      <c r="D494" s="163">
        <f>IFERROR(AkquiseTracking[[#This Row],[Wählversuche]]/AkquiseTracking[[#This Row],[Gespräche mit Empfang]],0)</f>
        <v>0</v>
      </c>
      <c r="E494" s="161"/>
      <c r="F494" s="163">
        <f>IFERROR(AkquiseTracking[[#This Row],[Gespräche mit Entscheider]]/AkquiseTracking[[#This Row],[Gespräche mit Empfang]],0)</f>
        <v>0</v>
      </c>
      <c r="G494" s="161"/>
      <c r="H494" s="163">
        <f>IFERROR(AkquiseTracking[[#This Row],[Termine vereinbart]]/AkquiseTracking[[#This Row],[Gespräche mit Empfang]],0)</f>
        <v>0</v>
      </c>
    </row>
    <row r="495" spans="1:8" ht="22.5" customHeight="1">
      <c r="A495" s="160"/>
      <c r="B495" s="161"/>
      <c r="C495" s="161"/>
      <c r="D495" s="163">
        <f>IFERROR(AkquiseTracking[[#This Row],[Wählversuche]]/AkquiseTracking[[#This Row],[Gespräche mit Empfang]],0)</f>
        <v>0</v>
      </c>
      <c r="E495" s="161"/>
      <c r="F495" s="163">
        <f>IFERROR(AkquiseTracking[[#This Row],[Gespräche mit Entscheider]]/AkquiseTracking[[#This Row],[Gespräche mit Empfang]],0)</f>
        <v>0</v>
      </c>
      <c r="G495" s="161"/>
      <c r="H495" s="163">
        <f>IFERROR(AkquiseTracking[[#This Row],[Termine vereinbart]]/AkquiseTracking[[#This Row],[Gespräche mit Empfang]],0)</f>
        <v>0</v>
      </c>
    </row>
    <row r="496" spans="1:8" ht="22.5" customHeight="1">
      <c r="A496" s="160"/>
      <c r="B496" s="161"/>
      <c r="C496" s="161"/>
      <c r="D496" s="163">
        <f>IFERROR(AkquiseTracking[[#This Row],[Wählversuche]]/AkquiseTracking[[#This Row],[Gespräche mit Empfang]],0)</f>
        <v>0</v>
      </c>
      <c r="E496" s="161"/>
      <c r="F496" s="163">
        <f>IFERROR(AkquiseTracking[[#This Row],[Gespräche mit Entscheider]]/AkquiseTracking[[#This Row],[Gespräche mit Empfang]],0)</f>
        <v>0</v>
      </c>
      <c r="G496" s="161"/>
      <c r="H496" s="163">
        <f>IFERROR(AkquiseTracking[[#This Row],[Termine vereinbart]]/AkquiseTracking[[#This Row],[Gespräche mit Empfang]],0)</f>
        <v>0</v>
      </c>
    </row>
    <row r="497" spans="1:8" ht="22.5" customHeight="1">
      <c r="A497" s="160"/>
      <c r="B497" s="161"/>
      <c r="C497" s="161"/>
      <c r="D497" s="163">
        <f>IFERROR(AkquiseTracking[[#This Row],[Wählversuche]]/AkquiseTracking[[#This Row],[Gespräche mit Empfang]],0)</f>
        <v>0</v>
      </c>
      <c r="E497" s="161"/>
      <c r="F497" s="163">
        <f>IFERROR(AkquiseTracking[[#This Row],[Gespräche mit Entscheider]]/AkquiseTracking[[#This Row],[Gespräche mit Empfang]],0)</f>
        <v>0</v>
      </c>
      <c r="G497" s="161"/>
      <c r="H497" s="163">
        <f>IFERROR(AkquiseTracking[[#This Row],[Termine vereinbart]]/AkquiseTracking[[#This Row],[Gespräche mit Empfang]],0)</f>
        <v>0</v>
      </c>
    </row>
    <row r="498" spans="1:8" ht="22.5" customHeight="1">
      <c r="A498" s="160"/>
      <c r="B498" s="161"/>
      <c r="C498" s="161"/>
      <c r="D498" s="163">
        <f>IFERROR(AkquiseTracking[[#This Row],[Wählversuche]]/AkquiseTracking[[#This Row],[Gespräche mit Empfang]],0)</f>
        <v>0</v>
      </c>
      <c r="E498" s="161"/>
      <c r="F498" s="163">
        <f>IFERROR(AkquiseTracking[[#This Row],[Gespräche mit Entscheider]]/AkquiseTracking[[#This Row],[Gespräche mit Empfang]],0)</f>
        <v>0</v>
      </c>
      <c r="G498" s="161"/>
      <c r="H498" s="163">
        <f>IFERROR(AkquiseTracking[[#This Row],[Termine vereinbart]]/AkquiseTracking[[#This Row],[Gespräche mit Empfang]],0)</f>
        <v>0</v>
      </c>
    </row>
    <row r="499" spans="1:8" ht="22.5" customHeight="1">
      <c r="A499" s="160"/>
      <c r="B499" s="161"/>
      <c r="C499" s="161"/>
      <c r="D499" s="163">
        <f>IFERROR(AkquiseTracking[[#This Row],[Wählversuche]]/AkquiseTracking[[#This Row],[Gespräche mit Empfang]],0)</f>
        <v>0</v>
      </c>
      <c r="E499" s="161"/>
      <c r="F499" s="163">
        <f>IFERROR(AkquiseTracking[[#This Row],[Gespräche mit Entscheider]]/AkquiseTracking[[#This Row],[Gespräche mit Empfang]],0)</f>
        <v>0</v>
      </c>
      <c r="G499" s="161"/>
      <c r="H499" s="163">
        <f>IFERROR(AkquiseTracking[[#This Row],[Termine vereinbart]]/AkquiseTracking[[#This Row],[Gespräche mit Empfang]],0)</f>
        <v>0</v>
      </c>
    </row>
    <row r="500" spans="1:8" ht="22.5" customHeight="1">
      <c r="A500" s="160"/>
      <c r="B500" s="161"/>
      <c r="C500" s="161"/>
      <c r="D500" s="163">
        <f>IFERROR(AkquiseTracking[[#This Row],[Wählversuche]]/AkquiseTracking[[#This Row],[Gespräche mit Empfang]],0)</f>
        <v>0</v>
      </c>
      <c r="E500" s="161"/>
      <c r="F500" s="163">
        <f>IFERROR(AkquiseTracking[[#This Row],[Gespräche mit Entscheider]]/AkquiseTracking[[#This Row],[Gespräche mit Empfang]],0)</f>
        <v>0</v>
      </c>
      <c r="G500" s="161"/>
      <c r="H500" s="163">
        <f>IFERROR(AkquiseTracking[[#This Row],[Termine vereinbart]]/AkquiseTracking[[#This Row],[Gespräche mit Empfang]],0)</f>
        <v>0</v>
      </c>
    </row>
    <row r="501" spans="1:8">
      <c r="A501" s="172"/>
      <c r="D501" s="173"/>
      <c r="F501" s="173"/>
      <c r="H501" s="173"/>
    </row>
    <row r="502" spans="1:8">
      <c r="A502" s="172"/>
      <c r="D502" s="173"/>
      <c r="F502" s="173"/>
      <c r="H502" s="173"/>
    </row>
    <row r="503" spans="1:8">
      <c r="A503" s="172"/>
      <c r="D503" s="173"/>
      <c r="F503" s="173"/>
      <c r="H503" s="173"/>
    </row>
    <row r="504" spans="1:8">
      <c r="A504" s="172"/>
      <c r="D504" s="173"/>
      <c r="F504" s="173"/>
      <c r="H504" s="173"/>
    </row>
    <row r="505" spans="1:8">
      <c r="A505" s="172"/>
      <c r="D505" s="173"/>
      <c r="F505" s="173"/>
      <c r="H505" s="173"/>
    </row>
    <row r="506" spans="1:8">
      <c r="A506" s="172"/>
      <c r="D506" s="173"/>
      <c r="F506" s="173"/>
      <c r="H506" s="173"/>
    </row>
    <row r="507" spans="1:8">
      <c r="A507" s="172"/>
      <c r="D507" s="173"/>
      <c r="F507" s="173"/>
      <c r="H507" s="173"/>
    </row>
    <row r="508" spans="1:8">
      <c r="A508" s="172"/>
      <c r="D508" s="173"/>
      <c r="F508" s="173"/>
      <c r="H508" s="173"/>
    </row>
    <row r="509" spans="1:8">
      <c r="A509" s="172"/>
      <c r="D509" s="173"/>
      <c r="F509" s="173"/>
      <c r="H509" s="173"/>
    </row>
    <row r="510" spans="1:8">
      <c r="A510" s="172"/>
      <c r="D510" s="173"/>
      <c r="F510" s="173"/>
      <c r="H510" s="173"/>
    </row>
    <row r="511" spans="1:8">
      <c r="A511" s="172"/>
      <c r="D511" s="173"/>
      <c r="F511" s="173"/>
      <c r="H511" s="173"/>
    </row>
    <row r="512" spans="1:8">
      <c r="A512" s="172"/>
      <c r="D512" s="173"/>
      <c r="F512" s="173"/>
      <c r="H512" s="173"/>
    </row>
    <row r="513" spans="1:8">
      <c r="A513" s="172"/>
      <c r="D513" s="173"/>
      <c r="F513" s="173"/>
      <c r="H513" s="173"/>
    </row>
    <row r="514" spans="1:8">
      <c r="A514" s="172"/>
      <c r="D514" s="173"/>
      <c r="F514" s="173"/>
      <c r="H514" s="173"/>
    </row>
    <row r="515" spans="1:8">
      <c r="A515" s="172"/>
      <c r="D515" s="173"/>
      <c r="F515" s="173"/>
      <c r="H515" s="173"/>
    </row>
    <row r="516" spans="1:8">
      <c r="A516" s="172"/>
      <c r="D516" s="173"/>
      <c r="F516" s="173"/>
      <c r="H516" s="173"/>
    </row>
    <row r="517" spans="1:8">
      <c r="A517" s="172"/>
      <c r="D517" s="173"/>
      <c r="F517" s="173"/>
      <c r="H517" s="173"/>
    </row>
    <row r="518" spans="1:8">
      <c r="A518" s="172"/>
      <c r="D518" s="173"/>
      <c r="F518" s="173"/>
      <c r="H518" s="173"/>
    </row>
    <row r="519" spans="1:8">
      <c r="A519" s="172"/>
      <c r="D519" s="173"/>
      <c r="F519" s="173"/>
      <c r="H519" s="173"/>
    </row>
    <row r="520" spans="1:8">
      <c r="A520" s="172"/>
      <c r="D520" s="173"/>
      <c r="F520" s="173"/>
      <c r="H520" s="173"/>
    </row>
    <row r="521" spans="1:8">
      <c r="A521" s="172"/>
      <c r="D521" s="173"/>
      <c r="F521" s="173"/>
      <c r="H521" s="173"/>
    </row>
    <row r="522" spans="1:8">
      <c r="A522" s="172"/>
      <c r="D522" s="173"/>
      <c r="F522" s="173"/>
      <c r="H522" s="173"/>
    </row>
    <row r="523" spans="1:8">
      <c r="A523" s="172"/>
      <c r="D523" s="173"/>
      <c r="F523" s="173"/>
      <c r="H523" s="173"/>
    </row>
    <row r="524" spans="1:8">
      <c r="A524" s="172"/>
      <c r="D524" s="173"/>
      <c r="F524" s="173"/>
      <c r="H524" s="173"/>
    </row>
    <row r="525" spans="1:8">
      <c r="A525" s="172"/>
      <c r="D525" s="173"/>
      <c r="F525" s="173"/>
      <c r="H525" s="173"/>
    </row>
    <row r="526" spans="1:8">
      <c r="A526" s="172"/>
      <c r="D526" s="173"/>
      <c r="F526" s="173"/>
      <c r="H526" s="173"/>
    </row>
    <row r="527" spans="1:8">
      <c r="A527" s="172"/>
      <c r="D527" s="173"/>
      <c r="F527" s="173"/>
      <c r="H527" s="173"/>
    </row>
    <row r="528" spans="1:8">
      <c r="A528" s="172"/>
      <c r="D528" s="173"/>
      <c r="F528" s="173"/>
      <c r="H528" s="173"/>
    </row>
    <row r="529" spans="1:8">
      <c r="A529" s="172"/>
      <c r="D529" s="173"/>
      <c r="F529" s="173"/>
      <c r="H529" s="173"/>
    </row>
    <row r="530" spans="1:8">
      <c r="A530" s="172"/>
      <c r="D530" s="173"/>
      <c r="F530" s="173"/>
      <c r="H530" s="173"/>
    </row>
    <row r="531" spans="1:8">
      <c r="A531" s="172"/>
      <c r="D531" s="173"/>
      <c r="F531" s="173"/>
      <c r="H531" s="173"/>
    </row>
    <row r="532" spans="1:8">
      <c r="A532" s="172"/>
      <c r="D532" s="173"/>
      <c r="F532" s="173"/>
      <c r="H532" s="173"/>
    </row>
    <row r="533" spans="1:8">
      <c r="A533" s="172"/>
      <c r="D533" s="173"/>
      <c r="F533" s="173"/>
      <c r="H533" s="173"/>
    </row>
    <row r="534" spans="1:8">
      <c r="A534" s="172"/>
      <c r="D534" s="173"/>
      <c r="F534" s="173"/>
      <c r="H534" s="173"/>
    </row>
    <row r="535" spans="1:8">
      <c r="A535" s="172"/>
      <c r="D535" s="173"/>
      <c r="F535" s="173"/>
      <c r="H535" s="173"/>
    </row>
    <row r="536" spans="1:8">
      <c r="A536" s="172"/>
      <c r="D536" s="173"/>
      <c r="F536" s="173"/>
      <c r="H536" s="173"/>
    </row>
    <row r="537" spans="1:8">
      <c r="A537" s="172"/>
      <c r="D537" s="173"/>
      <c r="F537" s="173"/>
      <c r="H537" s="173"/>
    </row>
    <row r="538" spans="1:8">
      <c r="A538" s="172"/>
      <c r="D538" s="173"/>
      <c r="F538" s="173"/>
      <c r="H538" s="173"/>
    </row>
    <row r="539" spans="1:8">
      <c r="A539" s="172"/>
      <c r="D539" s="173"/>
      <c r="F539" s="173"/>
      <c r="H539" s="173"/>
    </row>
    <row r="540" spans="1:8">
      <c r="A540" s="172"/>
      <c r="D540" s="173"/>
      <c r="F540" s="173"/>
      <c r="H540" s="173"/>
    </row>
    <row r="541" spans="1:8">
      <c r="A541" s="172"/>
      <c r="D541" s="173"/>
      <c r="F541" s="173"/>
      <c r="H541" s="173"/>
    </row>
    <row r="542" spans="1:8">
      <c r="A542" s="172"/>
      <c r="D542" s="173"/>
      <c r="F542" s="173"/>
      <c r="H542" s="173"/>
    </row>
    <row r="543" spans="1:8">
      <c r="A543" s="172"/>
      <c r="D543" s="173"/>
      <c r="F543" s="173"/>
      <c r="H543" s="173"/>
    </row>
    <row r="544" spans="1:8">
      <c r="A544" s="172"/>
      <c r="D544" s="173"/>
      <c r="F544" s="173"/>
      <c r="H544" s="173"/>
    </row>
    <row r="545" spans="1:8">
      <c r="A545" s="172"/>
      <c r="D545" s="173"/>
      <c r="F545" s="173"/>
      <c r="H545" s="173"/>
    </row>
    <row r="546" spans="1:8">
      <c r="A546" s="172"/>
      <c r="D546" s="173"/>
      <c r="F546" s="173"/>
      <c r="H546" s="173"/>
    </row>
    <row r="547" spans="1:8">
      <c r="A547" s="172"/>
      <c r="D547" s="173"/>
      <c r="F547" s="173"/>
      <c r="H547" s="173"/>
    </row>
    <row r="548" spans="1:8">
      <c r="A548" s="172"/>
      <c r="D548" s="173"/>
      <c r="F548" s="173"/>
      <c r="H548" s="173"/>
    </row>
    <row r="549" spans="1:8">
      <c r="A549" s="172"/>
      <c r="D549" s="173"/>
      <c r="F549" s="173"/>
      <c r="H549" s="173"/>
    </row>
    <row r="550" spans="1:8">
      <c r="A550" s="172"/>
      <c r="D550" s="173"/>
      <c r="F550" s="173"/>
      <c r="H550" s="173"/>
    </row>
    <row r="551" spans="1:8">
      <c r="A551" s="172"/>
      <c r="D551" s="173"/>
      <c r="F551" s="173"/>
      <c r="H551" s="173"/>
    </row>
    <row r="552" spans="1:8">
      <c r="A552" s="172"/>
      <c r="D552" s="173"/>
      <c r="F552" s="173"/>
      <c r="H552" s="173"/>
    </row>
    <row r="553" spans="1:8">
      <c r="A553" s="172"/>
      <c r="D553" s="173"/>
      <c r="F553" s="173"/>
      <c r="H553" s="173"/>
    </row>
    <row r="554" spans="1:8">
      <c r="A554" s="172"/>
      <c r="D554" s="173"/>
      <c r="F554" s="173"/>
      <c r="H554" s="173"/>
    </row>
    <row r="555" spans="1:8">
      <c r="A555" s="172"/>
      <c r="D555" s="173"/>
      <c r="F555" s="173"/>
      <c r="H555" s="173"/>
    </row>
    <row r="556" spans="1:8">
      <c r="A556" s="172"/>
      <c r="D556" s="173"/>
      <c r="F556" s="173"/>
      <c r="H556" s="173"/>
    </row>
    <row r="557" spans="1:8">
      <c r="A557" s="172"/>
      <c r="D557" s="173"/>
      <c r="F557" s="173"/>
      <c r="H557" s="173"/>
    </row>
    <row r="558" spans="1:8">
      <c r="A558" s="172"/>
      <c r="D558" s="173"/>
      <c r="F558" s="173"/>
      <c r="H558" s="173"/>
    </row>
    <row r="559" spans="1:8">
      <c r="A559" s="172"/>
      <c r="D559" s="173"/>
      <c r="F559" s="173"/>
      <c r="H559" s="173"/>
    </row>
    <row r="560" spans="1:8">
      <c r="A560" s="172"/>
      <c r="D560" s="173"/>
      <c r="F560" s="173"/>
      <c r="H560" s="173"/>
    </row>
    <row r="561" spans="1:8">
      <c r="A561" s="172"/>
      <c r="D561" s="173"/>
      <c r="F561" s="173"/>
      <c r="H561" s="173"/>
    </row>
    <row r="562" spans="1:8">
      <c r="A562" s="172"/>
      <c r="D562" s="173"/>
      <c r="F562" s="173"/>
      <c r="H562" s="173"/>
    </row>
    <row r="563" spans="1:8">
      <c r="A563" s="172"/>
      <c r="D563" s="173"/>
      <c r="F563" s="173"/>
      <c r="H563" s="173"/>
    </row>
    <row r="564" spans="1:8">
      <c r="A564" s="172"/>
      <c r="D564" s="173"/>
      <c r="F564" s="173"/>
      <c r="H564" s="173"/>
    </row>
    <row r="565" spans="1:8">
      <c r="A565" s="172"/>
      <c r="D565" s="173"/>
      <c r="F565" s="173"/>
      <c r="H565" s="173"/>
    </row>
    <row r="566" spans="1:8">
      <c r="A566" s="172"/>
      <c r="D566" s="173"/>
      <c r="F566" s="173"/>
      <c r="H566" s="173"/>
    </row>
    <row r="567" spans="1:8">
      <c r="A567" s="172"/>
      <c r="D567" s="173"/>
      <c r="F567" s="173"/>
      <c r="H567" s="173"/>
    </row>
    <row r="568" spans="1:8">
      <c r="A568" s="172"/>
      <c r="D568" s="173"/>
      <c r="F568" s="173"/>
      <c r="H568" s="173"/>
    </row>
    <row r="569" spans="1:8">
      <c r="A569" s="172"/>
      <c r="D569" s="173"/>
      <c r="F569" s="173"/>
      <c r="H569" s="173"/>
    </row>
    <row r="570" spans="1:8">
      <c r="A570" s="172"/>
      <c r="D570" s="173"/>
      <c r="F570" s="173"/>
      <c r="H570" s="173"/>
    </row>
    <row r="571" spans="1:8">
      <c r="A571" s="172"/>
      <c r="D571" s="173"/>
      <c r="F571" s="173"/>
      <c r="H571" s="173"/>
    </row>
    <row r="572" spans="1:8">
      <c r="A572" s="172"/>
      <c r="D572" s="173"/>
      <c r="F572" s="173"/>
      <c r="H572" s="173"/>
    </row>
    <row r="573" spans="1:8">
      <c r="A573" s="172"/>
      <c r="D573" s="173"/>
      <c r="F573" s="173"/>
      <c r="H573" s="173"/>
    </row>
    <row r="574" spans="1:8">
      <c r="A574" s="172"/>
      <c r="D574" s="173"/>
      <c r="F574" s="173"/>
      <c r="H574" s="173"/>
    </row>
    <row r="575" spans="1:8">
      <c r="A575" s="172"/>
      <c r="D575" s="173"/>
      <c r="F575" s="173"/>
      <c r="H575" s="173"/>
    </row>
    <row r="576" spans="1:8">
      <c r="A576" s="172"/>
      <c r="D576" s="173"/>
      <c r="F576" s="173"/>
      <c r="H576" s="173"/>
    </row>
    <row r="577" spans="1:8">
      <c r="A577" s="172"/>
      <c r="D577" s="173"/>
      <c r="F577" s="173"/>
      <c r="H577" s="173"/>
    </row>
    <row r="578" spans="1:8">
      <c r="A578" s="172"/>
      <c r="D578" s="173"/>
      <c r="F578" s="173"/>
      <c r="H578" s="173"/>
    </row>
    <row r="579" spans="1:8">
      <c r="A579" s="172"/>
      <c r="D579" s="173"/>
      <c r="F579" s="173"/>
      <c r="H579" s="173"/>
    </row>
    <row r="580" spans="1:8">
      <c r="A580" s="172"/>
      <c r="D580" s="173"/>
      <c r="F580" s="173"/>
      <c r="H580" s="173"/>
    </row>
    <row r="581" spans="1:8">
      <c r="A581" s="172"/>
      <c r="D581" s="173"/>
      <c r="F581" s="173"/>
      <c r="H581" s="173"/>
    </row>
    <row r="582" spans="1:8">
      <c r="A582" s="172"/>
      <c r="D582" s="173"/>
      <c r="F582" s="173"/>
      <c r="H582" s="173"/>
    </row>
    <row r="583" spans="1:8">
      <c r="A583" s="172"/>
      <c r="D583" s="173"/>
      <c r="F583" s="173"/>
      <c r="H583" s="173"/>
    </row>
    <row r="584" spans="1:8">
      <c r="A584" s="172"/>
      <c r="D584" s="173"/>
      <c r="F584" s="173"/>
      <c r="H584" s="173"/>
    </row>
    <row r="585" spans="1:8">
      <c r="A585" s="172"/>
      <c r="D585" s="173"/>
      <c r="F585" s="173"/>
      <c r="H585" s="173"/>
    </row>
    <row r="586" spans="1:8">
      <c r="A586" s="172"/>
      <c r="D586" s="173"/>
      <c r="F586" s="173"/>
      <c r="H586" s="173"/>
    </row>
    <row r="587" spans="1:8">
      <c r="A587" s="172"/>
      <c r="D587" s="173"/>
      <c r="F587" s="173"/>
      <c r="H587" s="173"/>
    </row>
    <row r="588" spans="1:8">
      <c r="A588" s="172"/>
      <c r="D588" s="173"/>
      <c r="F588" s="173"/>
      <c r="H588" s="173"/>
    </row>
    <row r="589" spans="1:8">
      <c r="A589" s="172"/>
      <c r="D589" s="173"/>
      <c r="F589" s="173"/>
      <c r="H589" s="173"/>
    </row>
    <row r="590" spans="1:8">
      <c r="A590" s="172"/>
      <c r="D590" s="173"/>
      <c r="F590" s="173"/>
      <c r="H590" s="173"/>
    </row>
    <row r="591" spans="1:8">
      <c r="A591" s="172"/>
      <c r="D591" s="173"/>
      <c r="F591" s="173"/>
      <c r="H591" s="173"/>
    </row>
    <row r="592" spans="1:8">
      <c r="A592" s="172"/>
      <c r="D592" s="173"/>
      <c r="F592" s="173"/>
      <c r="H592" s="173"/>
    </row>
    <row r="593" spans="1:8">
      <c r="A593" s="172"/>
      <c r="D593" s="173"/>
      <c r="F593" s="173"/>
      <c r="H593" s="173"/>
    </row>
    <row r="594" spans="1:8">
      <c r="A594" s="172"/>
      <c r="D594" s="173"/>
      <c r="F594" s="173"/>
      <c r="H594" s="173"/>
    </row>
    <row r="595" spans="1:8">
      <c r="A595" s="172"/>
      <c r="D595" s="173"/>
      <c r="F595" s="173"/>
      <c r="H595" s="173"/>
    </row>
    <row r="596" spans="1:8">
      <c r="A596" s="172"/>
      <c r="D596" s="173"/>
      <c r="F596" s="173"/>
      <c r="H596" s="173"/>
    </row>
    <row r="597" spans="1:8">
      <c r="A597" s="172"/>
      <c r="D597" s="173"/>
      <c r="F597" s="173"/>
      <c r="H597" s="173"/>
    </row>
    <row r="598" spans="1:8">
      <c r="A598" s="172"/>
      <c r="D598" s="173"/>
      <c r="F598" s="173"/>
      <c r="H598" s="173"/>
    </row>
    <row r="599" spans="1:8">
      <c r="A599" s="172"/>
      <c r="D599" s="173"/>
      <c r="F599" s="173"/>
      <c r="H599" s="173"/>
    </row>
    <row r="600" spans="1:8">
      <c r="A600" s="172"/>
      <c r="D600" s="173"/>
      <c r="F600" s="173"/>
      <c r="H600" s="173"/>
    </row>
    <row r="601" spans="1:8">
      <c r="A601" s="172"/>
      <c r="D601" s="173"/>
      <c r="F601" s="173"/>
      <c r="H601" s="173"/>
    </row>
    <row r="602" spans="1:8">
      <c r="A602" s="172"/>
      <c r="D602" s="173"/>
      <c r="F602" s="173"/>
      <c r="H602" s="173"/>
    </row>
    <row r="603" spans="1:8">
      <c r="A603" s="172"/>
      <c r="D603" s="173"/>
      <c r="F603" s="173"/>
      <c r="H603" s="173"/>
    </row>
    <row r="604" spans="1:8">
      <c r="A604" s="172"/>
      <c r="D604" s="173"/>
      <c r="F604" s="173"/>
      <c r="H604" s="173"/>
    </row>
    <row r="605" spans="1:8">
      <c r="A605" s="172"/>
      <c r="D605" s="173"/>
      <c r="F605" s="173"/>
      <c r="H605" s="173"/>
    </row>
    <row r="606" spans="1:8">
      <c r="A606" s="172"/>
      <c r="D606" s="173"/>
      <c r="F606" s="173"/>
      <c r="H606" s="173"/>
    </row>
    <row r="607" spans="1:8">
      <c r="A607" s="172"/>
      <c r="D607" s="173"/>
      <c r="F607" s="173"/>
      <c r="H607" s="173"/>
    </row>
    <row r="608" spans="1:8">
      <c r="A608" s="172"/>
      <c r="D608" s="173"/>
      <c r="F608" s="173"/>
      <c r="H608" s="173"/>
    </row>
    <row r="609" spans="1:8">
      <c r="A609" s="172"/>
      <c r="D609" s="173"/>
      <c r="F609" s="173"/>
      <c r="H609" s="173"/>
    </row>
    <row r="610" spans="1:8">
      <c r="A610" s="172"/>
      <c r="D610" s="173"/>
      <c r="F610" s="173"/>
      <c r="H610" s="173"/>
    </row>
    <row r="611" spans="1:8">
      <c r="A611" s="172"/>
      <c r="D611" s="173"/>
      <c r="F611" s="173"/>
      <c r="H611" s="173"/>
    </row>
    <row r="612" spans="1:8">
      <c r="A612" s="172"/>
      <c r="D612" s="173"/>
      <c r="F612" s="173"/>
      <c r="H612" s="173"/>
    </row>
    <row r="613" spans="1:8">
      <c r="A613" s="172"/>
      <c r="D613" s="173"/>
      <c r="F613" s="173"/>
      <c r="H613" s="173"/>
    </row>
    <row r="614" spans="1:8">
      <c r="A614" s="172"/>
      <c r="D614" s="173"/>
      <c r="F614" s="173"/>
      <c r="H614" s="173"/>
    </row>
    <row r="615" spans="1:8">
      <c r="A615" s="172"/>
      <c r="D615" s="173"/>
      <c r="F615" s="173"/>
      <c r="H615" s="173"/>
    </row>
    <row r="616" spans="1:8">
      <c r="A616" s="172"/>
      <c r="D616" s="173"/>
      <c r="F616" s="173"/>
      <c r="H616" s="173"/>
    </row>
    <row r="617" spans="1:8">
      <c r="A617" s="172"/>
      <c r="D617" s="173"/>
      <c r="F617" s="173"/>
      <c r="H617" s="173"/>
    </row>
    <row r="618" spans="1:8">
      <c r="A618" s="172"/>
      <c r="D618" s="173"/>
      <c r="F618" s="173"/>
      <c r="H618" s="173"/>
    </row>
    <row r="619" spans="1:8">
      <c r="A619" s="172"/>
      <c r="D619" s="173"/>
      <c r="F619" s="173"/>
      <c r="H619" s="173"/>
    </row>
    <row r="620" spans="1:8">
      <c r="A620" s="172"/>
      <c r="D620" s="173"/>
      <c r="F620" s="173"/>
      <c r="H620" s="173"/>
    </row>
    <row r="621" spans="1:8">
      <c r="A621" s="172"/>
      <c r="D621" s="173"/>
      <c r="F621" s="173"/>
      <c r="H621" s="173"/>
    </row>
    <row r="622" spans="1:8">
      <c r="A622" s="172"/>
      <c r="D622" s="173"/>
      <c r="F622" s="173"/>
      <c r="H622" s="173"/>
    </row>
    <row r="623" spans="1:8">
      <c r="A623" s="172"/>
      <c r="D623" s="173"/>
      <c r="F623" s="173"/>
      <c r="H623" s="173"/>
    </row>
    <row r="624" spans="1:8">
      <c r="A624" s="172"/>
      <c r="D624" s="173"/>
      <c r="F624" s="173"/>
      <c r="H624" s="173"/>
    </row>
    <row r="625" spans="1:8">
      <c r="A625" s="172"/>
      <c r="D625" s="173"/>
      <c r="F625" s="173"/>
      <c r="H625" s="173"/>
    </row>
    <row r="626" spans="1:8">
      <c r="A626" s="172"/>
      <c r="D626" s="173"/>
      <c r="F626" s="173"/>
      <c r="H626" s="173"/>
    </row>
    <row r="627" spans="1:8">
      <c r="A627" s="172"/>
      <c r="D627" s="173"/>
      <c r="F627" s="173"/>
      <c r="H627" s="173"/>
    </row>
    <row r="628" spans="1:8">
      <c r="A628" s="172"/>
      <c r="D628" s="173"/>
      <c r="F628" s="173"/>
      <c r="H628" s="173"/>
    </row>
    <row r="629" spans="1:8">
      <c r="A629" s="172"/>
      <c r="D629" s="173"/>
      <c r="F629" s="173"/>
      <c r="H629" s="173"/>
    </row>
    <row r="630" spans="1:8">
      <c r="A630" s="172"/>
      <c r="D630" s="173"/>
      <c r="F630" s="173"/>
      <c r="H630" s="173"/>
    </row>
    <row r="631" spans="1:8">
      <c r="A631" s="172"/>
      <c r="D631" s="173"/>
      <c r="F631" s="173"/>
      <c r="H631" s="173"/>
    </row>
    <row r="632" spans="1:8">
      <c r="A632" s="172"/>
      <c r="D632" s="173"/>
      <c r="F632" s="173"/>
      <c r="H632" s="173"/>
    </row>
    <row r="633" spans="1:8">
      <c r="A633" s="172"/>
      <c r="D633" s="173"/>
      <c r="F633" s="173"/>
      <c r="H633" s="173"/>
    </row>
    <row r="634" spans="1:8">
      <c r="A634" s="172"/>
      <c r="D634" s="173"/>
      <c r="F634" s="173"/>
      <c r="H634" s="173"/>
    </row>
    <row r="635" spans="1:8">
      <c r="A635" s="172"/>
      <c r="D635" s="173"/>
      <c r="F635" s="173"/>
      <c r="H635" s="173"/>
    </row>
    <row r="636" spans="1:8">
      <c r="A636" s="172"/>
      <c r="D636" s="173"/>
      <c r="F636" s="173"/>
      <c r="H636" s="173"/>
    </row>
    <row r="637" spans="1:8">
      <c r="A637" s="172"/>
      <c r="D637" s="173"/>
      <c r="F637" s="173"/>
      <c r="H637" s="173"/>
    </row>
    <row r="638" spans="1:8">
      <c r="A638" s="172"/>
      <c r="D638" s="173"/>
      <c r="F638" s="173"/>
      <c r="H638" s="173"/>
    </row>
    <row r="639" spans="1:8">
      <c r="A639" s="172"/>
      <c r="D639" s="173"/>
      <c r="F639" s="173"/>
      <c r="H639" s="173"/>
    </row>
    <row r="640" spans="1:8">
      <c r="A640" s="172"/>
      <c r="D640" s="173"/>
      <c r="F640" s="173"/>
      <c r="H640" s="173"/>
    </row>
    <row r="641" spans="1:8">
      <c r="A641" s="172"/>
      <c r="D641" s="173"/>
      <c r="F641" s="173"/>
      <c r="H641" s="173"/>
    </row>
    <row r="642" spans="1:8">
      <c r="A642" s="172"/>
      <c r="D642" s="173"/>
      <c r="F642" s="173"/>
      <c r="H642" s="173"/>
    </row>
    <row r="643" spans="1:8">
      <c r="A643" s="172"/>
      <c r="D643" s="173"/>
      <c r="F643" s="173"/>
      <c r="H643" s="173"/>
    </row>
    <row r="644" spans="1:8">
      <c r="A644" s="172"/>
      <c r="D644" s="173"/>
      <c r="F644" s="173"/>
      <c r="H644" s="173"/>
    </row>
    <row r="645" spans="1:8">
      <c r="A645" s="172"/>
      <c r="D645" s="173"/>
      <c r="F645" s="173"/>
      <c r="H645" s="173"/>
    </row>
    <row r="646" spans="1:8">
      <c r="A646" s="172"/>
      <c r="D646" s="173"/>
      <c r="F646" s="173"/>
      <c r="H646" s="173"/>
    </row>
    <row r="647" spans="1:8">
      <c r="A647" s="172"/>
      <c r="D647" s="173"/>
      <c r="F647" s="173"/>
      <c r="H647" s="173"/>
    </row>
    <row r="648" spans="1:8">
      <c r="A648" s="172"/>
      <c r="D648" s="173"/>
      <c r="F648" s="173"/>
      <c r="H648" s="173"/>
    </row>
    <row r="649" spans="1:8">
      <c r="A649" s="172"/>
      <c r="D649" s="173"/>
      <c r="F649" s="173"/>
      <c r="H649" s="173"/>
    </row>
    <row r="650" spans="1:8">
      <c r="A650" s="172"/>
      <c r="D650" s="173"/>
      <c r="F650" s="173"/>
      <c r="H650" s="173"/>
    </row>
    <row r="651" spans="1:8">
      <c r="A651" s="172"/>
      <c r="D651" s="173"/>
      <c r="F651" s="173"/>
      <c r="H651" s="173"/>
    </row>
    <row r="652" spans="1:8">
      <c r="A652" s="172"/>
      <c r="D652" s="173"/>
      <c r="F652" s="173"/>
      <c r="H652" s="173"/>
    </row>
    <row r="653" spans="1:8">
      <c r="A653" s="172"/>
      <c r="D653" s="173"/>
      <c r="F653" s="173"/>
      <c r="H653" s="173"/>
    </row>
    <row r="654" spans="1:8">
      <c r="A654" s="172"/>
      <c r="D654" s="173"/>
      <c r="F654" s="173"/>
      <c r="H654" s="173"/>
    </row>
    <row r="655" spans="1:8">
      <c r="A655" s="172"/>
      <c r="D655" s="173"/>
      <c r="F655" s="173"/>
      <c r="H655" s="173"/>
    </row>
    <row r="656" spans="1:8">
      <c r="A656" s="172"/>
      <c r="D656" s="173"/>
      <c r="F656" s="173"/>
      <c r="H656" s="173"/>
    </row>
    <row r="657" spans="1:8">
      <c r="A657" s="172"/>
      <c r="D657" s="173"/>
      <c r="F657" s="173"/>
      <c r="H657" s="173"/>
    </row>
    <row r="658" spans="1:8">
      <c r="A658" s="172"/>
      <c r="D658" s="173"/>
      <c r="F658" s="173"/>
      <c r="H658" s="173"/>
    </row>
    <row r="659" spans="1:8">
      <c r="A659" s="172"/>
      <c r="D659" s="173"/>
      <c r="F659" s="173"/>
      <c r="H659" s="173"/>
    </row>
    <row r="660" spans="1:8">
      <c r="A660" s="172"/>
      <c r="D660" s="173"/>
      <c r="F660" s="173"/>
      <c r="H660" s="173"/>
    </row>
    <row r="661" spans="1:8">
      <c r="A661" s="172"/>
      <c r="D661" s="173"/>
      <c r="F661" s="173"/>
      <c r="H661" s="173"/>
    </row>
    <row r="662" spans="1:8">
      <c r="A662" s="172"/>
      <c r="D662" s="173"/>
      <c r="F662" s="173"/>
      <c r="H662" s="173"/>
    </row>
    <row r="663" spans="1:8">
      <c r="A663" s="172"/>
      <c r="D663" s="173"/>
      <c r="F663" s="173"/>
      <c r="H663" s="173"/>
    </row>
    <row r="664" spans="1:8">
      <c r="A664" s="172"/>
      <c r="D664" s="173"/>
      <c r="F664" s="173"/>
      <c r="H664" s="173"/>
    </row>
    <row r="665" spans="1:8">
      <c r="A665" s="172"/>
      <c r="D665" s="173"/>
      <c r="F665" s="173"/>
      <c r="H665" s="173"/>
    </row>
    <row r="666" spans="1:8">
      <c r="A666" s="172"/>
      <c r="D666" s="173"/>
      <c r="F666" s="173"/>
      <c r="H666" s="173"/>
    </row>
    <row r="667" spans="1:8">
      <c r="A667" s="172"/>
      <c r="D667" s="173"/>
      <c r="F667" s="173"/>
      <c r="H667" s="173"/>
    </row>
    <row r="668" spans="1:8">
      <c r="A668" s="172"/>
      <c r="D668" s="173"/>
      <c r="F668" s="173"/>
      <c r="H668" s="173"/>
    </row>
    <row r="669" spans="1:8">
      <c r="A669" s="172"/>
      <c r="D669" s="173"/>
      <c r="F669" s="173"/>
      <c r="H669" s="173"/>
    </row>
    <row r="670" spans="1:8">
      <c r="A670" s="172"/>
      <c r="D670" s="173"/>
      <c r="F670" s="173"/>
      <c r="H670" s="173"/>
    </row>
    <row r="671" spans="1:8">
      <c r="A671" s="172"/>
      <c r="D671" s="173"/>
      <c r="F671" s="173"/>
      <c r="H671" s="173"/>
    </row>
    <row r="672" spans="1:8">
      <c r="A672" s="172"/>
      <c r="D672" s="173"/>
      <c r="F672" s="173"/>
      <c r="H672" s="173"/>
    </row>
    <row r="673" spans="1:8">
      <c r="A673" s="172"/>
      <c r="D673" s="173"/>
      <c r="F673" s="173"/>
      <c r="H673" s="173"/>
    </row>
    <row r="674" spans="1:8">
      <c r="A674" s="172"/>
      <c r="D674" s="173"/>
      <c r="F674" s="173"/>
      <c r="H674" s="173"/>
    </row>
    <row r="675" spans="1:8">
      <c r="A675" s="172"/>
      <c r="D675" s="173"/>
      <c r="F675" s="173"/>
      <c r="H675" s="173"/>
    </row>
    <row r="676" spans="1:8">
      <c r="A676" s="172"/>
      <c r="D676" s="173"/>
      <c r="F676" s="173"/>
      <c r="H676" s="173"/>
    </row>
    <row r="677" spans="1:8">
      <c r="A677" s="172"/>
      <c r="D677" s="173"/>
      <c r="F677" s="173"/>
      <c r="H677" s="173"/>
    </row>
    <row r="678" spans="1:8">
      <c r="A678" s="172"/>
      <c r="D678" s="173"/>
      <c r="F678" s="173"/>
      <c r="H678" s="173"/>
    </row>
    <row r="679" spans="1:8">
      <c r="A679" s="172"/>
      <c r="D679" s="173"/>
      <c r="F679" s="173"/>
      <c r="H679" s="173"/>
    </row>
    <row r="680" spans="1:8">
      <c r="A680" s="172"/>
      <c r="D680" s="173"/>
      <c r="F680" s="173"/>
      <c r="H680" s="173"/>
    </row>
    <row r="681" spans="1:8">
      <c r="A681" s="172"/>
      <c r="D681" s="173"/>
      <c r="F681" s="173"/>
      <c r="H681" s="173"/>
    </row>
    <row r="682" spans="1:8">
      <c r="A682" s="172"/>
      <c r="D682" s="173"/>
      <c r="F682" s="173"/>
      <c r="H682" s="173"/>
    </row>
    <row r="683" spans="1:8">
      <c r="A683" s="172"/>
      <c r="D683" s="173"/>
      <c r="F683" s="173"/>
      <c r="H683" s="173"/>
    </row>
    <row r="684" spans="1:8">
      <c r="A684" s="172"/>
      <c r="D684" s="173"/>
      <c r="F684" s="173"/>
      <c r="H684" s="173"/>
    </row>
    <row r="685" spans="1:8">
      <c r="A685" s="172"/>
      <c r="D685" s="173"/>
      <c r="F685" s="173"/>
      <c r="H685" s="173"/>
    </row>
    <row r="686" spans="1:8">
      <c r="A686" s="172"/>
      <c r="D686" s="173"/>
      <c r="F686" s="173"/>
      <c r="H686" s="173"/>
    </row>
    <row r="687" spans="1:8">
      <c r="A687" s="172"/>
      <c r="D687" s="173"/>
      <c r="F687" s="173"/>
      <c r="H687" s="173"/>
    </row>
    <row r="688" spans="1:8">
      <c r="A688" s="172"/>
      <c r="D688" s="173"/>
      <c r="F688" s="173"/>
      <c r="H688" s="173"/>
    </row>
    <row r="689" spans="1:8">
      <c r="A689" s="172"/>
      <c r="D689" s="173"/>
      <c r="F689" s="173"/>
      <c r="H689" s="173"/>
    </row>
    <row r="690" spans="1:8">
      <c r="A690" s="172"/>
      <c r="D690" s="173"/>
      <c r="F690" s="173"/>
      <c r="H690" s="173"/>
    </row>
    <row r="691" spans="1:8">
      <c r="A691" s="172"/>
      <c r="D691" s="173"/>
      <c r="F691" s="173"/>
      <c r="H691" s="173"/>
    </row>
    <row r="692" spans="1:8">
      <c r="A692" s="172"/>
      <c r="D692" s="173"/>
      <c r="F692" s="173"/>
      <c r="H692" s="173"/>
    </row>
    <row r="693" spans="1:8">
      <c r="A693" s="172"/>
      <c r="D693" s="173"/>
      <c r="F693" s="173"/>
      <c r="H693" s="173"/>
    </row>
    <row r="694" spans="1:8">
      <c r="A694" s="172"/>
      <c r="D694" s="173"/>
      <c r="F694" s="173"/>
      <c r="H694" s="173"/>
    </row>
    <row r="695" spans="1:8">
      <c r="A695" s="172"/>
      <c r="D695" s="173"/>
      <c r="F695" s="173"/>
      <c r="H695" s="173"/>
    </row>
    <row r="696" spans="1:8">
      <c r="A696" s="172"/>
      <c r="D696" s="173"/>
      <c r="F696" s="173"/>
      <c r="H696" s="173"/>
    </row>
    <row r="697" spans="1:8">
      <c r="A697" s="172"/>
      <c r="D697" s="173"/>
      <c r="F697" s="173"/>
      <c r="H697" s="173"/>
    </row>
    <row r="698" spans="1:8">
      <c r="A698" s="172"/>
      <c r="D698" s="173"/>
      <c r="F698" s="173"/>
      <c r="H698" s="173"/>
    </row>
    <row r="699" spans="1:8">
      <c r="A699" s="172"/>
      <c r="D699" s="173"/>
      <c r="F699" s="173"/>
      <c r="H699" s="173"/>
    </row>
    <row r="700" spans="1:8">
      <c r="A700" s="172"/>
      <c r="D700" s="173"/>
      <c r="F700" s="173"/>
      <c r="H700" s="173"/>
    </row>
    <row r="701" spans="1:8">
      <c r="A701" s="172"/>
      <c r="D701" s="173"/>
      <c r="F701" s="173"/>
      <c r="H701" s="173"/>
    </row>
    <row r="702" spans="1:8">
      <c r="A702" s="172"/>
      <c r="D702" s="173"/>
      <c r="F702" s="173"/>
      <c r="H702" s="173"/>
    </row>
    <row r="703" spans="1:8">
      <c r="A703" s="172"/>
      <c r="D703" s="173"/>
      <c r="F703" s="173"/>
      <c r="H703" s="173"/>
    </row>
    <row r="704" spans="1:8">
      <c r="A704" s="172"/>
      <c r="D704" s="173"/>
      <c r="F704" s="173"/>
      <c r="H704" s="173"/>
    </row>
    <row r="705" spans="1:8">
      <c r="A705" s="172"/>
      <c r="D705" s="173"/>
      <c r="F705" s="173"/>
      <c r="H705" s="173"/>
    </row>
    <row r="706" spans="1:8">
      <c r="A706" s="172"/>
      <c r="D706" s="173"/>
      <c r="F706" s="173"/>
      <c r="H706" s="173"/>
    </row>
    <row r="707" spans="1:8">
      <c r="A707" s="172"/>
      <c r="D707" s="173"/>
      <c r="F707" s="173"/>
      <c r="H707" s="173"/>
    </row>
    <row r="708" spans="1:8">
      <c r="A708" s="172"/>
      <c r="D708" s="173"/>
      <c r="F708" s="173"/>
      <c r="H708" s="173"/>
    </row>
    <row r="709" spans="1:8">
      <c r="A709" s="172"/>
      <c r="D709" s="173"/>
      <c r="F709" s="173"/>
      <c r="H709" s="173"/>
    </row>
    <row r="710" spans="1:8">
      <c r="A710" s="172"/>
      <c r="D710" s="173"/>
      <c r="F710" s="173"/>
      <c r="H710" s="173"/>
    </row>
    <row r="711" spans="1:8">
      <c r="A711" s="172"/>
      <c r="D711" s="173"/>
      <c r="F711" s="173"/>
      <c r="H711" s="173"/>
    </row>
    <row r="712" spans="1:8">
      <c r="A712" s="172"/>
      <c r="D712" s="173"/>
      <c r="F712" s="173"/>
      <c r="H712" s="173"/>
    </row>
    <row r="713" spans="1:8">
      <c r="A713" s="172"/>
      <c r="D713" s="173"/>
      <c r="F713" s="173"/>
      <c r="H713" s="173"/>
    </row>
    <row r="714" spans="1:8">
      <c r="A714" s="172"/>
      <c r="D714" s="173"/>
      <c r="F714" s="173"/>
      <c r="H714" s="173"/>
    </row>
    <row r="715" spans="1:8">
      <c r="A715" s="172"/>
      <c r="D715" s="173"/>
      <c r="F715" s="173"/>
      <c r="H715" s="173"/>
    </row>
    <row r="716" spans="1:8">
      <c r="A716" s="172"/>
      <c r="D716" s="173"/>
      <c r="F716" s="173"/>
      <c r="H716" s="173"/>
    </row>
    <row r="717" spans="1:8">
      <c r="A717" s="172"/>
      <c r="D717" s="173"/>
      <c r="F717" s="173"/>
      <c r="H717" s="173"/>
    </row>
    <row r="718" spans="1:8">
      <c r="A718" s="172"/>
      <c r="D718" s="173"/>
      <c r="F718" s="173"/>
      <c r="H718" s="173"/>
    </row>
    <row r="719" spans="1:8">
      <c r="A719" s="172"/>
      <c r="D719" s="173"/>
      <c r="F719" s="173"/>
      <c r="H719" s="173"/>
    </row>
    <row r="720" spans="1:8">
      <c r="A720" s="172"/>
      <c r="D720" s="173"/>
      <c r="F720" s="173"/>
      <c r="H720" s="173"/>
    </row>
    <row r="721" spans="1:8">
      <c r="A721" s="172"/>
      <c r="D721" s="173"/>
      <c r="F721" s="173"/>
      <c r="H721" s="173"/>
    </row>
    <row r="722" spans="1:8">
      <c r="A722" s="172"/>
      <c r="D722" s="173"/>
      <c r="F722" s="173"/>
      <c r="H722" s="173"/>
    </row>
    <row r="723" spans="1:8">
      <c r="A723" s="172"/>
      <c r="D723" s="173"/>
      <c r="F723" s="173"/>
      <c r="H723" s="173"/>
    </row>
    <row r="724" spans="1:8">
      <c r="A724" s="172"/>
      <c r="D724" s="173"/>
      <c r="F724" s="173"/>
      <c r="H724" s="173"/>
    </row>
    <row r="725" spans="1:8">
      <c r="A725" s="172"/>
      <c r="D725" s="173"/>
      <c r="F725" s="173"/>
      <c r="H725" s="173"/>
    </row>
    <row r="726" spans="1:8">
      <c r="A726" s="172"/>
      <c r="D726" s="173"/>
      <c r="F726" s="173"/>
      <c r="H726" s="173"/>
    </row>
    <row r="727" spans="1:8">
      <c r="A727" s="172"/>
      <c r="D727" s="173"/>
      <c r="F727" s="173"/>
      <c r="H727" s="173"/>
    </row>
    <row r="728" spans="1:8">
      <c r="A728" s="172"/>
      <c r="D728" s="173"/>
      <c r="F728" s="173"/>
      <c r="H728" s="173"/>
    </row>
    <row r="729" spans="1:8">
      <c r="A729" s="172"/>
      <c r="D729" s="173"/>
      <c r="F729" s="173"/>
      <c r="H729" s="173"/>
    </row>
    <row r="730" spans="1:8">
      <c r="A730" s="172"/>
      <c r="D730" s="173"/>
      <c r="F730" s="173"/>
      <c r="H730" s="173"/>
    </row>
    <row r="731" spans="1:8">
      <c r="A731" s="172"/>
      <c r="D731" s="173"/>
      <c r="F731" s="173"/>
      <c r="H731" s="173"/>
    </row>
    <row r="732" spans="1:8">
      <c r="A732" s="172"/>
      <c r="D732" s="173"/>
      <c r="F732" s="173"/>
      <c r="H732" s="173"/>
    </row>
    <row r="733" spans="1:8">
      <c r="A733" s="172"/>
      <c r="D733" s="173"/>
      <c r="F733" s="173"/>
      <c r="H733" s="173"/>
    </row>
    <row r="734" spans="1:8">
      <c r="A734" s="172"/>
      <c r="D734" s="173"/>
      <c r="F734" s="173"/>
      <c r="H734" s="173"/>
    </row>
    <row r="735" spans="1:8">
      <c r="A735" s="172"/>
      <c r="D735" s="173"/>
      <c r="F735" s="173"/>
      <c r="H735" s="173"/>
    </row>
    <row r="736" spans="1:8">
      <c r="A736" s="172"/>
      <c r="D736" s="173"/>
      <c r="F736" s="173"/>
      <c r="H736" s="173"/>
    </row>
    <row r="737" spans="1:8">
      <c r="A737" s="172"/>
      <c r="D737" s="173"/>
      <c r="F737" s="173"/>
      <c r="H737" s="173"/>
    </row>
    <row r="738" spans="1:8">
      <c r="A738" s="172"/>
      <c r="D738" s="173"/>
      <c r="F738" s="173"/>
      <c r="H738" s="173"/>
    </row>
    <row r="739" spans="1:8">
      <c r="A739" s="172"/>
      <c r="D739" s="173"/>
      <c r="F739" s="173"/>
      <c r="H739" s="173"/>
    </row>
    <row r="740" spans="1:8">
      <c r="A740" s="172"/>
      <c r="D740" s="173"/>
      <c r="F740" s="173"/>
      <c r="H740" s="173"/>
    </row>
    <row r="741" spans="1:8">
      <c r="A741" s="172"/>
      <c r="D741" s="173"/>
      <c r="F741" s="173"/>
      <c r="H741" s="173"/>
    </row>
    <row r="742" spans="1:8">
      <c r="A742" s="172"/>
      <c r="D742" s="173"/>
      <c r="F742" s="173"/>
      <c r="H742" s="173"/>
    </row>
    <row r="743" spans="1:8">
      <c r="A743" s="172"/>
      <c r="D743" s="173"/>
      <c r="F743" s="173"/>
      <c r="H743" s="173"/>
    </row>
    <row r="744" spans="1:8">
      <c r="A744" s="172"/>
      <c r="D744" s="173"/>
      <c r="F744" s="173"/>
      <c r="H744" s="173"/>
    </row>
    <row r="745" spans="1:8">
      <c r="A745" s="172"/>
      <c r="D745" s="173"/>
      <c r="F745" s="173"/>
      <c r="H745" s="173"/>
    </row>
    <row r="746" spans="1:8">
      <c r="A746" s="172"/>
      <c r="D746" s="173"/>
      <c r="F746" s="173"/>
      <c r="H746" s="173"/>
    </row>
    <row r="747" spans="1:8">
      <c r="A747" s="172"/>
      <c r="D747" s="173"/>
      <c r="F747" s="173"/>
      <c r="H747" s="173"/>
    </row>
    <row r="748" spans="1:8">
      <c r="A748" s="172"/>
      <c r="D748" s="173"/>
      <c r="F748" s="173"/>
      <c r="H748" s="173"/>
    </row>
    <row r="749" spans="1:8">
      <c r="A749" s="172"/>
      <c r="D749" s="173"/>
      <c r="F749" s="173"/>
      <c r="H749" s="173"/>
    </row>
    <row r="750" spans="1:8">
      <c r="A750" s="172"/>
      <c r="D750" s="173"/>
      <c r="F750" s="173"/>
      <c r="H750" s="173"/>
    </row>
    <row r="751" spans="1:8">
      <c r="A751" s="172"/>
      <c r="D751" s="173"/>
      <c r="F751" s="173"/>
      <c r="H751" s="173"/>
    </row>
    <row r="752" spans="1:8">
      <c r="A752" s="172"/>
      <c r="D752" s="173"/>
      <c r="F752" s="173"/>
      <c r="H752" s="173"/>
    </row>
    <row r="753" spans="1:8">
      <c r="A753" s="172"/>
      <c r="D753" s="173"/>
      <c r="F753" s="173"/>
      <c r="H753" s="173"/>
    </row>
    <row r="754" spans="1:8">
      <c r="A754" s="172"/>
      <c r="D754" s="173"/>
      <c r="F754" s="173"/>
      <c r="H754" s="173"/>
    </row>
    <row r="755" spans="1:8">
      <c r="A755" s="172"/>
      <c r="D755" s="173"/>
      <c r="F755" s="173"/>
      <c r="H755" s="173"/>
    </row>
    <row r="756" spans="1:8">
      <c r="A756" s="172"/>
      <c r="D756" s="173"/>
      <c r="F756" s="173"/>
      <c r="H756" s="173"/>
    </row>
    <row r="757" spans="1:8">
      <c r="A757" s="172"/>
      <c r="D757" s="173"/>
      <c r="F757" s="173"/>
      <c r="H757" s="173"/>
    </row>
    <row r="758" spans="1:8">
      <c r="A758" s="172"/>
      <c r="D758" s="173"/>
      <c r="F758" s="173"/>
      <c r="H758" s="173"/>
    </row>
    <row r="759" spans="1:8">
      <c r="A759" s="172"/>
      <c r="D759" s="173"/>
      <c r="F759" s="173"/>
      <c r="H759" s="173"/>
    </row>
    <row r="760" spans="1:8">
      <c r="A760" s="172"/>
      <c r="D760" s="173"/>
      <c r="F760" s="173"/>
      <c r="H760" s="173"/>
    </row>
    <row r="761" spans="1:8">
      <c r="A761" s="172"/>
      <c r="D761" s="173"/>
      <c r="F761" s="173"/>
      <c r="H761" s="173"/>
    </row>
    <row r="762" spans="1:8">
      <c r="A762" s="172"/>
      <c r="D762" s="173"/>
      <c r="F762" s="173"/>
      <c r="H762" s="173"/>
    </row>
    <row r="763" spans="1:8">
      <c r="A763" s="172"/>
      <c r="D763" s="173"/>
      <c r="F763" s="173"/>
      <c r="H763" s="173"/>
    </row>
    <row r="764" spans="1:8">
      <c r="A764" s="172"/>
      <c r="D764" s="173"/>
      <c r="F764" s="173"/>
      <c r="H764" s="173"/>
    </row>
    <row r="765" spans="1:8">
      <c r="A765" s="172"/>
      <c r="D765" s="173"/>
      <c r="F765" s="173"/>
      <c r="H765" s="173"/>
    </row>
    <row r="766" spans="1:8">
      <c r="A766" s="172"/>
      <c r="D766" s="173"/>
      <c r="F766" s="173"/>
      <c r="H766" s="173"/>
    </row>
    <row r="767" spans="1:8">
      <c r="A767" s="172"/>
      <c r="D767" s="173"/>
      <c r="F767" s="173"/>
      <c r="H767" s="173"/>
    </row>
    <row r="768" spans="1:8">
      <c r="A768" s="172"/>
      <c r="D768" s="173"/>
      <c r="F768" s="173"/>
      <c r="H768" s="173"/>
    </row>
    <row r="769" spans="1:8">
      <c r="A769" s="172"/>
      <c r="D769" s="173"/>
      <c r="F769" s="173"/>
      <c r="H769" s="173"/>
    </row>
    <row r="770" spans="1:8">
      <c r="A770" s="172"/>
      <c r="D770" s="173"/>
      <c r="F770" s="173"/>
      <c r="H770" s="173"/>
    </row>
    <row r="771" spans="1:8">
      <c r="A771" s="172"/>
      <c r="D771" s="173"/>
      <c r="F771" s="173"/>
      <c r="H771" s="173"/>
    </row>
    <row r="772" spans="1:8">
      <c r="A772" s="172"/>
      <c r="D772" s="173"/>
      <c r="F772" s="173"/>
      <c r="H772" s="173"/>
    </row>
    <row r="773" spans="1:8">
      <c r="A773" s="172"/>
      <c r="D773" s="173"/>
      <c r="F773" s="173"/>
      <c r="H773" s="173"/>
    </row>
    <row r="774" spans="1:8">
      <c r="A774" s="172"/>
      <c r="D774" s="173"/>
      <c r="F774" s="173"/>
      <c r="H774" s="173"/>
    </row>
    <row r="775" spans="1:8">
      <c r="A775" s="172"/>
      <c r="D775" s="173"/>
      <c r="F775" s="173"/>
      <c r="H775" s="173"/>
    </row>
    <row r="776" spans="1:8">
      <c r="A776" s="172"/>
      <c r="D776" s="173"/>
      <c r="F776" s="173"/>
      <c r="H776" s="173"/>
    </row>
    <row r="777" spans="1:8">
      <c r="A777" s="172"/>
      <c r="D777" s="173"/>
      <c r="F777" s="173"/>
      <c r="H777" s="173"/>
    </row>
    <row r="778" spans="1:8">
      <c r="A778" s="172"/>
      <c r="D778" s="173"/>
      <c r="F778" s="173"/>
      <c r="H778" s="173"/>
    </row>
    <row r="779" spans="1:8">
      <c r="A779" s="172"/>
      <c r="D779" s="173"/>
      <c r="F779" s="173"/>
      <c r="H779" s="173"/>
    </row>
    <row r="780" spans="1:8">
      <c r="A780" s="172"/>
      <c r="D780" s="173"/>
      <c r="F780" s="173"/>
      <c r="H780" s="173"/>
    </row>
    <row r="781" spans="1:8">
      <c r="A781" s="172"/>
      <c r="D781" s="173"/>
      <c r="F781" s="173"/>
      <c r="H781" s="173"/>
    </row>
    <row r="782" spans="1:8">
      <c r="A782" s="172"/>
      <c r="D782" s="173"/>
      <c r="F782" s="173"/>
      <c r="H782" s="173"/>
    </row>
    <row r="783" spans="1:8">
      <c r="A783" s="172"/>
      <c r="D783" s="173"/>
      <c r="F783" s="173"/>
      <c r="H783" s="173"/>
    </row>
    <row r="784" spans="1:8">
      <c r="A784" s="172"/>
      <c r="D784" s="173"/>
      <c r="F784" s="173"/>
      <c r="H784" s="173"/>
    </row>
    <row r="785" spans="1:8">
      <c r="A785" s="172"/>
      <c r="D785" s="173"/>
      <c r="F785" s="173"/>
      <c r="H785" s="173"/>
    </row>
    <row r="786" spans="1:8">
      <c r="A786" s="172"/>
      <c r="D786" s="173"/>
      <c r="F786" s="173"/>
      <c r="H786" s="173"/>
    </row>
    <row r="787" spans="1:8">
      <c r="A787" s="172"/>
      <c r="D787" s="173"/>
      <c r="F787" s="173"/>
      <c r="H787" s="173"/>
    </row>
    <row r="788" spans="1:8">
      <c r="A788" s="172"/>
      <c r="D788" s="173"/>
      <c r="F788" s="173"/>
      <c r="H788" s="173"/>
    </row>
    <row r="789" spans="1:8">
      <c r="A789" s="172"/>
      <c r="D789" s="173"/>
      <c r="F789" s="173"/>
      <c r="H789" s="173"/>
    </row>
    <row r="790" spans="1:8">
      <c r="A790" s="172"/>
      <c r="D790" s="173"/>
      <c r="F790" s="173"/>
      <c r="H790" s="173"/>
    </row>
    <row r="791" spans="1:8">
      <c r="A791" s="172"/>
      <c r="D791" s="173"/>
      <c r="F791" s="173"/>
      <c r="H791" s="173"/>
    </row>
    <row r="792" spans="1:8">
      <c r="A792" s="172"/>
      <c r="D792" s="173"/>
      <c r="F792" s="173"/>
      <c r="H792" s="173"/>
    </row>
    <row r="793" spans="1:8">
      <c r="A793" s="172"/>
      <c r="D793" s="173"/>
      <c r="F793" s="173"/>
      <c r="H793" s="173"/>
    </row>
    <row r="794" spans="1:8">
      <c r="A794" s="172"/>
      <c r="D794" s="173"/>
      <c r="F794" s="173"/>
      <c r="H794" s="173"/>
    </row>
    <row r="795" spans="1:8">
      <c r="A795" s="172"/>
      <c r="D795" s="173"/>
      <c r="F795" s="173"/>
      <c r="H795" s="173"/>
    </row>
    <row r="796" spans="1:8">
      <c r="A796" s="172"/>
      <c r="D796" s="173"/>
      <c r="F796" s="173"/>
      <c r="H796" s="173"/>
    </row>
    <row r="797" spans="1:8">
      <c r="A797" s="172"/>
      <c r="D797" s="173"/>
      <c r="F797" s="173"/>
      <c r="H797" s="173"/>
    </row>
    <row r="798" spans="1:8">
      <c r="A798" s="172"/>
      <c r="D798" s="173"/>
      <c r="F798" s="173"/>
      <c r="H798" s="173"/>
    </row>
    <row r="799" spans="1:8">
      <c r="A799" s="172"/>
      <c r="D799" s="173"/>
      <c r="F799" s="173"/>
      <c r="H799" s="173"/>
    </row>
    <row r="800" spans="1:8">
      <c r="A800" s="172"/>
      <c r="D800" s="173"/>
      <c r="F800" s="173"/>
      <c r="H800" s="173"/>
    </row>
    <row r="801" spans="1:8">
      <c r="A801" s="172"/>
      <c r="D801" s="173"/>
      <c r="F801" s="173"/>
      <c r="H801" s="173"/>
    </row>
    <row r="802" spans="1:8">
      <c r="A802" s="172"/>
      <c r="D802" s="173"/>
      <c r="F802" s="173"/>
      <c r="H802" s="173"/>
    </row>
    <row r="803" spans="1:8">
      <c r="A803" s="172"/>
      <c r="D803" s="173"/>
      <c r="F803" s="173"/>
      <c r="H803" s="173"/>
    </row>
    <row r="804" spans="1:8">
      <c r="A804" s="172"/>
      <c r="D804" s="173"/>
      <c r="F804" s="173"/>
      <c r="H804" s="173"/>
    </row>
    <row r="805" spans="1:8">
      <c r="A805" s="172"/>
      <c r="D805" s="173"/>
      <c r="F805" s="173"/>
      <c r="H805" s="173"/>
    </row>
    <row r="806" spans="1:8">
      <c r="A806" s="172"/>
      <c r="D806" s="173"/>
      <c r="F806" s="173"/>
      <c r="H806" s="173"/>
    </row>
    <row r="807" spans="1:8">
      <c r="A807" s="172"/>
      <c r="D807" s="173"/>
      <c r="F807" s="173"/>
      <c r="H807" s="173"/>
    </row>
    <row r="808" spans="1:8">
      <c r="A808" s="172"/>
      <c r="D808" s="173"/>
      <c r="F808" s="173"/>
      <c r="H808" s="173"/>
    </row>
    <row r="809" spans="1:8">
      <c r="A809" s="172"/>
      <c r="D809" s="173"/>
      <c r="F809" s="173"/>
      <c r="H809" s="173"/>
    </row>
    <row r="810" spans="1:8">
      <c r="A810" s="172"/>
      <c r="D810" s="173"/>
      <c r="F810" s="173"/>
      <c r="H810" s="173"/>
    </row>
    <row r="811" spans="1:8">
      <c r="A811" s="172"/>
      <c r="D811" s="173"/>
      <c r="F811" s="173"/>
      <c r="H811" s="173"/>
    </row>
    <row r="812" spans="1:8">
      <c r="A812" s="172"/>
      <c r="D812" s="173"/>
      <c r="F812" s="173"/>
      <c r="H812" s="173"/>
    </row>
    <row r="813" spans="1:8">
      <c r="A813" s="172"/>
      <c r="D813" s="173"/>
      <c r="F813" s="173"/>
      <c r="H813" s="173"/>
    </row>
    <row r="814" spans="1:8">
      <c r="A814" s="172"/>
      <c r="D814" s="173"/>
      <c r="F814" s="173"/>
      <c r="H814" s="173"/>
    </row>
    <row r="815" spans="1:8">
      <c r="A815" s="172"/>
      <c r="D815" s="173"/>
      <c r="F815" s="173"/>
      <c r="H815" s="173"/>
    </row>
    <row r="816" spans="1:8">
      <c r="A816" s="172"/>
      <c r="D816" s="173"/>
      <c r="F816" s="173"/>
      <c r="H816" s="173"/>
    </row>
    <row r="817" spans="1:8">
      <c r="A817" s="172"/>
      <c r="D817" s="173"/>
      <c r="F817" s="173"/>
      <c r="H817" s="173"/>
    </row>
    <row r="818" spans="1:8">
      <c r="A818" s="172"/>
      <c r="D818" s="173"/>
      <c r="F818" s="173"/>
      <c r="H818" s="173"/>
    </row>
    <row r="819" spans="1:8">
      <c r="A819" s="172"/>
      <c r="D819" s="173"/>
      <c r="F819" s="173"/>
      <c r="H819" s="173"/>
    </row>
    <row r="820" spans="1:8">
      <c r="A820" s="172"/>
      <c r="D820" s="173"/>
      <c r="F820" s="173"/>
      <c r="H820" s="173"/>
    </row>
    <row r="821" spans="1:8">
      <c r="A821" s="172"/>
      <c r="D821" s="173"/>
      <c r="F821" s="173"/>
      <c r="H821" s="173"/>
    </row>
    <row r="822" spans="1:8">
      <c r="A822" s="172"/>
      <c r="D822" s="173"/>
      <c r="F822" s="173"/>
      <c r="H822" s="173"/>
    </row>
    <row r="823" spans="1:8">
      <c r="A823" s="172"/>
      <c r="D823" s="173"/>
      <c r="F823" s="173"/>
      <c r="H823" s="173"/>
    </row>
    <row r="824" spans="1:8">
      <c r="A824" s="172"/>
      <c r="D824" s="173"/>
      <c r="F824" s="173"/>
      <c r="H824" s="173"/>
    </row>
    <row r="825" spans="1:8">
      <c r="A825" s="172"/>
      <c r="D825" s="173"/>
      <c r="F825" s="173"/>
      <c r="H825" s="173"/>
    </row>
    <row r="826" spans="1:8">
      <c r="A826" s="172"/>
      <c r="D826" s="173"/>
      <c r="F826" s="173"/>
      <c r="H826" s="173"/>
    </row>
    <row r="827" spans="1:8">
      <c r="A827" s="172"/>
      <c r="D827" s="173"/>
      <c r="F827" s="173"/>
      <c r="H827" s="173"/>
    </row>
    <row r="828" spans="1:8">
      <c r="A828" s="172"/>
      <c r="D828" s="173"/>
      <c r="F828" s="173"/>
      <c r="H828" s="173"/>
    </row>
    <row r="829" spans="1:8">
      <c r="A829" s="172"/>
      <c r="D829" s="173"/>
      <c r="F829" s="173"/>
      <c r="H829" s="173"/>
    </row>
    <row r="830" spans="1:8">
      <c r="A830" s="172"/>
      <c r="D830" s="173"/>
      <c r="F830" s="173"/>
      <c r="H830" s="173"/>
    </row>
    <row r="831" spans="1:8">
      <c r="A831" s="172"/>
      <c r="D831" s="173"/>
      <c r="F831" s="173"/>
      <c r="H831" s="173"/>
    </row>
    <row r="832" spans="1:8">
      <c r="A832" s="172"/>
      <c r="D832" s="173"/>
      <c r="F832" s="173"/>
      <c r="H832" s="173"/>
    </row>
    <row r="833" spans="1:8">
      <c r="A833" s="172"/>
      <c r="D833" s="173"/>
      <c r="F833" s="173"/>
      <c r="H833" s="173"/>
    </row>
    <row r="834" spans="1:8">
      <c r="A834" s="172"/>
      <c r="D834" s="173"/>
      <c r="F834" s="173"/>
      <c r="H834" s="173"/>
    </row>
    <row r="835" spans="1:8">
      <c r="A835" s="172"/>
      <c r="D835" s="173"/>
      <c r="F835" s="173"/>
      <c r="H835" s="173"/>
    </row>
    <row r="836" spans="1:8">
      <c r="A836" s="172"/>
      <c r="D836" s="173"/>
      <c r="F836" s="173"/>
      <c r="H836" s="173"/>
    </row>
    <row r="837" spans="1:8">
      <c r="A837" s="172"/>
      <c r="D837" s="173"/>
      <c r="F837" s="173"/>
      <c r="H837" s="173"/>
    </row>
    <row r="838" spans="1:8">
      <c r="A838" s="172"/>
      <c r="D838" s="173"/>
      <c r="F838" s="173"/>
      <c r="H838" s="173"/>
    </row>
    <row r="839" spans="1:8">
      <c r="A839" s="172"/>
      <c r="D839" s="173"/>
      <c r="F839" s="173"/>
      <c r="H839" s="173"/>
    </row>
    <row r="840" spans="1:8">
      <c r="A840" s="172"/>
      <c r="D840" s="173"/>
      <c r="F840" s="173"/>
      <c r="H840" s="173"/>
    </row>
    <row r="841" spans="1:8">
      <c r="A841" s="172"/>
      <c r="D841" s="173"/>
      <c r="F841" s="173"/>
      <c r="H841" s="173"/>
    </row>
    <row r="842" spans="1:8">
      <c r="A842" s="172"/>
      <c r="D842" s="173"/>
      <c r="F842" s="173"/>
      <c r="H842" s="173"/>
    </row>
    <row r="843" spans="1:8">
      <c r="A843" s="172"/>
      <c r="D843" s="173"/>
      <c r="F843" s="173"/>
      <c r="H843" s="173"/>
    </row>
    <row r="844" spans="1:8">
      <c r="A844" s="172"/>
      <c r="D844" s="173"/>
      <c r="F844" s="173"/>
      <c r="H844" s="173"/>
    </row>
    <row r="845" spans="1:8">
      <c r="A845" s="172"/>
      <c r="D845" s="173"/>
      <c r="F845" s="173"/>
      <c r="H845" s="173"/>
    </row>
    <row r="846" spans="1:8">
      <c r="A846" s="172"/>
      <c r="D846" s="173"/>
      <c r="F846" s="173"/>
      <c r="H846" s="173"/>
    </row>
    <row r="847" spans="1:8">
      <c r="A847" s="172"/>
      <c r="D847" s="173"/>
      <c r="F847" s="173"/>
      <c r="H847" s="173"/>
    </row>
    <row r="848" spans="1:8">
      <c r="A848" s="172"/>
      <c r="D848" s="173"/>
      <c r="F848" s="173"/>
      <c r="H848" s="173"/>
    </row>
    <row r="849" spans="1:8">
      <c r="A849" s="172"/>
      <c r="D849" s="173"/>
      <c r="F849" s="173"/>
      <c r="H849" s="173"/>
    </row>
    <row r="850" spans="1:8">
      <c r="A850" s="172"/>
      <c r="D850" s="173"/>
      <c r="F850" s="173"/>
      <c r="H850" s="173"/>
    </row>
    <row r="851" spans="1:8">
      <c r="A851" s="172"/>
      <c r="D851" s="173"/>
      <c r="F851" s="173"/>
      <c r="H851" s="173"/>
    </row>
    <row r="852" spans="1:8">
      <c r="A852" s="172"/>
      <c r="D852" s="173"/>
      <c r="F852" s="173"/>
      <c r="H852" s="173"/>
    </row>
    <row r="853" spans="1:8">
      <c r="A853" s="172"/>
      <c r="D853" s="173"/>
      <c r="F853" s="173"/>
      <c r="H853" s="173"/>
    </row>
    <row r="854" spans="1:8">
      <c r="A854" s="172"/>
      <c r="D854" s="173"/>
      <c r="F854" s="173"/>
      <c r="H854" s="173"/>
    </row>
    <row r="855" spans="1:8">
      <c r="A855" s="172"/>
      <c r="D855" s="173"/>
      <c r="F855" s="173"/>
      <c r="H855" s="173"/>
    </row>
    <row r="856" spans="1:8">
      <c r="A856" s="172"/>
      <c r="D856" s="173"/>
      <c r="F856" s="173"/>
      <c r="H856" s="173"/>
    </row>
    <row r="857" spans="1:8">
      <c r="A857" s="172"/>
      <c r="D857" s="173"/>
      <c r="F857" s="173"/>
      <c r="H857" s="173"/>
    </row>
    <row r="858" spans="1:8">
      <c r="A858" s="172"/>
      <c r="D858" s="173"/>
      <c r="F858" s="173"/>
      <c r="H858" s="173"/>
    </row>
    <row r="859" spans="1:8">
      <c r="A859" s="172"/>
      <c r="D859" s="173"/>
      <c r="F859" s="173"/>
      <c r="H859" s="173"/>
    </row>
    <row r="860" spans="1:8">
      <c r="A860" s="172"/>
      <c r="D860" s="173"/>
      <c r="F860" s="173"/>
      <c r="H860" s="173"/>
    </row>
    <row r="861" spans="1:8">
      <c r="A861" s="172"/>
      <c r="D861" s="173"/>
      <c r="F861" s="173"/>
      <c r="H861" s="173"/>
    </row>
    <row r="862" spans="1:8">
      <c r="A862" s="172"/>
      <c r="D862" s="173"/>
      <c r="F862" s="173"/>
      <c r="H862" s="173"/>
    </row>
    <row r="863" spans="1:8">
      <c r="A863" s="172"/>
      <c r="D863" s="173"/>
      <c r="F863" s="173"/>
      <c r="H863" s="173"/>
    </row>
    <row r="864" spans="1:8">
      <c r="A864" s="172"/>
      <c r="D864" s="173"/>
      <c r="F864" s="173"/>
      <c r="H864" s="173"/>
    </row>
    <row r="865" spans="1:8">
      <c r="A865" s="172"/>
      <c r="D865" s="173"/>
      <c r="F865" s="173"/>
      <c r="H865" s="173"/>
    </row>
    <row r="866" spans="1:8">
      <c r="A866" s="172"/>
      <c r="D866" s="173"/>
      <c r="F866" s="173"/>
      <c r="H866" s="173"/>
    </row>
    <row r="867" spans="1:8">
      <c r="A867" s="172"/>
      <c r="D867" s="173"/>
      <c r="F867" s="173"/>
      <c r="H867" s="173"/>
    </row>
    <row r="868" spans="1:8">
      <c r="A868" s="172"/>
      <c r="D868" s="173"/>
      <c r="F868" s="173"/>
      <c r="H868" s="173"/>
    </row>
    <row r="869" spans="1:8">
      <c r="A869" s="172"/>
      <c r="D869" s="173"/>
      <c r="F869" s="173"/>
      <c r="H869" s="173"/>
    </row>
    <row r="870" spans="1:8">
      <c r="A870" s="172"/>
      <c r="D870" s="173"/>
      <c r="F870" s="173"/>
      <c r="H870" s="173"/>
    </row>
    <row r="871" spans="1:8">
      <c r="A871" s="172"/>
      <c r="D871" s="173"/>
      <c r="F871" s="173"/>
      <c r="H871" s="173"/>
    </row>
    <row r="872" spans="1:8">
      <c r="A872" s="172"/>
      <c r="D872" s="173"/>
      <c r="F872" s="173"/>
      <c r="H872" s="173"/>
    </row>
    <row r="873" spans="1:8">
      <c r="A873" s="172"/>
      <c r="D873" s="173"/>
      <c r="F873" s="173"/>
      <c r="H873" s="173"/>
    </row>
    <row r="874" spans="1:8">
      <c r="A874" s="172"/>
      <c r="D874" s="173"/>
      <c r="F874" s="173"/>
      <c r="H874" s="173"/>
    </row>
    <row r="875" spans="1:8">
      <c r="A875" s="172"/>
      <c r="D875" s="173"/>
      <c r="F875" s="173"/>
      <c r="H875" s="173"/>
    </row>
    <row r="876" spans="1:8">
      <c r="A876" s="172"/>
      <c r="D876" s="173"/>
      <c r="F876" s="173"/>
      <c r="H876" s="173"/>
    </row>
    <row r="877" spans="1:8">
      <c r="A877" s="172"/>
      <c r="D877" s="173"/>
      <c r="F877" s="173"/>
      <c r="H877" s="173"/>
    </row>
    <row r="878" spans="1:8">
      <c r="A878" s="172"/>
      <c r="D878" s="173"/>
      <c r="F878" s="173"/>
      <c r="H878" s="173"/>
    </row>
    <row r="879" spans="1:8">
      <c r="A879" s="172"/>
      <c r="D879" s="173"/>
      <c r="F879" s="173"/>
      <c r="H879" s="173"/>
    </row>
    <row r="880" spans="1:8">
      <c r="A880" s="172"/>
      <c r="D880" s="173"/>
      <c r="F880" s="173"/>
      <c r="H880" s="173"/>
    </row>
    <row r="881" spans="1:8">
      <c r="A881" s="172"/>
      <c r="D881" s="173"/>
      <c r="F881" s="173"/>
      <c r="H881" s="173"/>
    </row>
    <row r="882" spans="1:8">
      <c r="A882" s="172"/>
      <c r="D882" s="173"/>
      <c r="F882" s="173"/>
      <c r="H882" s="173"/>
    </row>
    <row r="883" spans="1:8">
      <c r="A883" s="172"/>
      <c r="D883" s="173"/>
      <c r="F883" s="173"/>
      <c r="H883" s="173"/>
    </row>
    <row r="884" spans="1:8">
      <c r="A884" s="172"/>
      <c r="D884" s="173"/>
      <c r="F884" s="173"/>
      <c r="H884" s="173"/>
    </row>
    <row r="885" spans="1:8">
      <c r="A885" s="172"/>
      <c r="D885" s="173"/>
      <c r="F885" s="173"/>
      <c r="H885" s="173"/>
    </row>
    <row r="886" spans="1:8">
      <c r="A886" s="172"/>
      <c r="D886" s="173"/>
      <c r="F886" s="173"/>
      <c r="H886" s="173"/>
    </row>
    <row r="887" spans="1:8">
      <c r="A887" s="172"/>
      <c r="D887" s="173"/>
      <c r="F887" s="173"/>
      <c r="H887" s="173"/>
    </row>
    <row r="888" spans="1:8">
      <c r="A888" s="172"/>
      <c r="D888" s="173"/>
      <c r="F888" s="173"/>
      <c r="H888" s="173"/>
    </row>
    <row r="889" spans="1:8">
      <c r="A889" s="172"/>
      <c r="D889" s="173"/>
      <c r="F889" s="173"/>
      <c r="H889" s="173"/>
    </row>
    <row r="890" spans="1:8">
      <c r="A890" s="172"/>
      <c r="D890" s="173"/>
      <c r="F890" s="173"/>
      <c r="H890" s="173"/>
    </row>
    <row r="891" spans="1:8">
      <c r="A891" s="172"/>
      <c r="D891" s="173"/>
      <c r="F891" s="173"/>
      <c r="H891" s="173"/>
    </row>
    <row r="892" spans="1:8">
      <c r="A892" s="172"/>
      <c r="D892" s="173"/>
      <c r="F892" s="173"/>
      <c r="H892" s="173"/>
    </row>
    <row r="893" spans="1:8">
      <c r="A893" s="172"/>
      <c r="D893" s="173"/>
      <c r="F893" s="173"/>
      <c r="H893" s="173"/>
    </row>
    <row r="894" spans="1:8">
      <c r="A894" s="172"/>
      <c r="D894" s="173"/>
      <c r="F894" s="173"/>
      <c r="H894" s="173"/>
    </row>
    <row r="895" spans="1:8">
      <c r="A895" s="172"/>
      <c r="D895" s="173"/>
      <c r="F895" s="173"/>
      <c r="H895" s="173"/>
    </row>
    <row r="896" spans="1:8">
      <c r="A896" s="172"/>
      <c r="D896" s="173"/>
      <c r="F896" s="173"/>
      <c r="H896" s="173"/>
    </row>
    <row r="897" spans="1:8">
      <c r="A897" s="172"/>
      <c r="D897" s="173"/>
      <c r="F897" s="173"/>
      <c r="H897" s="173"/>
    </row>
    <row r="898" spans="1:8">
      <c r="A898" s="172"/>
      <c r="D898" s="173"/>
      <c r="F898" s="173"/>
      <c r="H898" s="173"/>
    </row>
    <row r="899" spans="1:8">
      <c r="A899" s="172"/>
      <c r="D899" s="173"/>
      <c r="F899" s="173"/>
      <c r="H899" s="173"/>
    </row>
    <row r="900" spans="1:8">
      <c r="A900" s="172"/>
      <c r="D900" s="173"/>
      <c r="F900" s="173"/>
      <c r="H900" s="173"/>
    </row>
    <row r="901" spans="1:8">
      <c r="A901" s="172"/>
      <c r="D901" s="173"/>
      <c r="F901" s="173"/>
      <c r="H901" s="173"/>
    </row>
    <row r="902" spans="1:8">
      <c r="A902" s="172"/>
      <c r="D902" s="173"/>
      <c r="F902" s="173"/>
      <c r="H902" s="173"/>
    </row>
    <row r="903" spans="1:8">
      <c r="A903" s="172"/>
      <c r="D903" s="173"/>
      <c r="F903" s="173"/>
      <c r="H903" s="173"/>
    </row>
    <row r="904" spans="1:8">
      <c r="A904" s="172"/>
      <c r="D904" s="173"/>
      <c r="F904" s="173"/>
      <c r="H904" s="173"/>
    </row>
    <row r="905" spans="1:8">
      <c r="A905" s="172"/>
      <c r="D905" s="173"/>
      <c r="F905" s="173"/>
      <c r="H905" s="173"/>
    </row>
    <row r="906" spans="1:8">
      <c r="A906" s="172"/>
      <c r="D906" s="173"/>
      <c r="F906" s="173"/>
      <c r="H906" s="173"/>
    </row>
    <row r="907" spans="1:8">
      <c r="A907" s="172"/>
      <c r="D907" s="173"/>
      <c r="F907" s="173"/>
      <c r="H907" s="173"/>
    </row>
    <row r="908" spans="1:8">
      <c r="A908" s="172"/>
      <c r="D908" s="173"/>
      <c r="F908" s="173"/>
      <c r="H908" s="173"/>
    </row>
    <row r="909" spans="1:8">
      <c r="A909" s="172"/>
      <c r="D909" s="173"/>
      <c r="F909" s="173"/>
      <c r="H909" s="173"/>
    </row>
    <row r="910" spans="1:8">
      <c r="A910" s="172"/>
      <c r="D910" s="173"/>
      <c r="F910" s="173"/>
      <c r="H910" s="173"/>
    </row>
    <row r="911" spans="1:8">
      <c r="A911" s="172"/>
      <c r="D911" s="173"/>
      <c r="F911" s="173"/>
      <c r="H911" s="173"/>
    </row>
    <row r="912" spans="1:8">
      <c r="A912" s="172"/>
      <c r="D912" s="173"/>
      <c r="F912" s="173"/>
      <c r="H912" s="173"/>
    </row>
    <row r="913" spans="1:8">
      <c r="A913" s="172"/>
      <c r="D913" s="173"/>
      <c r="F913" s="173"/>
      <c r="H913" s="173"/>
    </row>
    <row r="914" spans="1:8">
      <c r="A914" s="172"/>
      <c r="D914" s="173"/>
      <c r="F914" s="173"/>
      <c r="H914" s="173"/>
    </row>
    <row r="915" spans="1:8">
      <c r="A915" s="172"/>
      <c r="D915" s="173"/>
      <c r="F915" s="173"/>
      <c r="H915" s="173"/>
    </row>
    <row r="916" spans="1:8">
      <c r="A916" s="172"/>
      <c r="D916" s="173"/>
      <c r="F916" s="173"/>
      <c r="H916" s="173"/>
    </row>
    <row r="917" spans="1:8">
      <c r="A917" s="172"/>
      <c r="D917" s="173"/>
      <c r="F917" s="173"/>
      <c r="H917" s="173"/>
    </row>
    <row r="918" spans="1:8">
      <c r="A918" s="172"/>
      <c r="D918" s="173"/>
      <c r="F918" s="173"/>
      <c r="H918" s="173"/>
    </row>
    <row r="919" spans="1:8">
      <c r="A919" s="172"/>
      <c r="D919" s="173"/>
      <c r="F919" s="173"/>
      <c r="H919" s="173"/>
    </row>
    <row r="920" spans="1:8">
      <c r="A920" s="172"/>
      <c r="D920" s="173"/>
      <c r="F920" s="173"/>
      <c r="H920" s="173"/>
    </row>
    <row r="921" spans="1:8">
      <c r="A921" s="172"/>
      <c r="D921" s="173"/>
      <c r="F921" s="173"/>
      <c r="H921" s="173"/>
    </row>
    <row r="922" spans="1:8">
      <c r="A922" s="172"/>
      <c r="D922" s="173"/>
      <c r="F922" s="173"/>
      <c r="H922" s="173"/>
    </row>
    <row r="923" spans="1:8">
      <c r="A923" s="172"/>
      <c r="D923" s="173"/>
      <c r="F923" s="173"/>
      <c r="H923" s="173"/>
    </row>
    <row r="924" spans="1:8">
      <c r="A924" s="172"/>
      <c r="D924" s="173"/>
      <c r="F924" s="173"/>
      <c r="H924" s="173"/>
    </row>
    <row r="925" spans="1:8">
      <c r="A925" s="172"/>
      <c r="D925" s="173"/>
      <c r="F925" s="173"/>
      <c r="H925" s="173"/>
    </row>
    <row r="926" spans="1:8">
      <c r="A926" s="172"/>
      <c r="D926" s="173"/>
      <c r="F926" s="173"/>
      <c r="H926" s="173"/>
    </row>
    <row r="927" spans="1:8">
      <c r="A927" s="172"/>
      <c r="D927" s="173"/>
      <c r="F927" s="173"/>
      <c r="H927" s="173"/>
    </row>
    <row r="928" spans="1:8">
      <c r="A928" s="172"/>
      <c r="D928" s="173"/>
      <c r="F928" s="173"/>
      <c r="H928" s="173"/>
    </row>
    <row r="929" spans="1:8">
      <c r="A929" s="172"/>
      <c r="D929" s="173"/>
      <c r="F929" s="173"/>
      <c r="H929" s="173"/>
    </row>
    <row r="930" spans="1:8">
      <c r="A930" s="172"/>
      <c r="D930" s="173"/>
      <c r="F930" s="173"/>
      <c r="H930" s="173"/>
    </row>
    <row r="931" spans="1:8">
      <c r="A931" s="172"/>
      <c r="D931" s="173"/>
      <c r="F931" s="173"/>
      <c r="H931" s="173"/>
    </row>
    <row r="932" spans="1:8">
      <c r="A932" s="172"/>
      <c r="D932" s="173"/>
      <c r="F932" s="173"/>
      <c r="H932" s="173"/>
    </row>
    <row r="933" spans="1:8">
      <c r="A933" s="172"/>
      <c r="D933" s="173"/>
      <c r="F933" s="173"/>
      <c r="H933" s="173"/>
    </row>
    <row r="934" spans="1:8">
      <c r="A934" s="172"/>
      <c r="D934" s="173"/>
      <c r="F934" s="173"/>
      <c r="H934" s="173"/>
    </row>
    <row r="935" spans="1:8">
      <c r="A935" s="172"/>
      <c r="D935" s="173"/>
      <c r="F935" s="173"/>
      <c r="H935" s="173"/>
    </row>
    <row r="936" spans="1:8">
      <c r="A936" s="172"/>
      <c r="D936" s="173"/>
      <c r="F936" s="173"/>
      <c r="H936" s="173"/>
    </row>
    <row r="937" spans="1:8">
      <c r="A937" s="172"/>
      <c r="D937" s="173"/>
      <c r="F937" s="173"/>
      <c r="H937" s="173"/>
    </row>
    <row r="938" spans="1:8">
      <c r="A938" s="172"/>
      <c r="D938" s="173"/>
      <c r="F938" s="173"/>
      <c r="H938" s="173"/>
    </row>
    <row r="939" spans="1:8">
      <c r="A939" s="172"/>
      <c r="D939" s="173"/>
      <c r="F939" s="173"/>
      <c r="H939" s="173"/>
    </row>
    <row r="940" spans="1:8">
      <c r="A940" s="172"/>
      <c r="D940" s="173"/>
      <c r="F940" s="173"/>
      <c r="H940" s="173"/>
    </row>
    <row r="941" spans="1:8">
      <c r="A941" s="172"/>
      <c r="D941" s="173"/>
      <c r="F941" s="173"/>
      <c r="H941" s="173"/>
    </row>
    <row r="942" spans="1:8">
      <c r="A942" s="172"/>
      <c r="D942" s="173"/>
      <c r="F942" s="173"/>
      <c r="H942" s="173"/>
    </row>
    <row r="943" spans="1:8">
      <c r="A943" s="172"/>
      <c r="D943" s="173"/>
      <c r="F943" s="173"/>
      <c r="H943" s="173"/>
    </row>
    <row r="944" spans="1:8">
      <c r="A944" s="172"/>
      <c r="D944" s="173"/>
      <c r="F944" s="173"/>
      <c r="H944" s="173"/>
    </row>
    <row r="945" spans="1:8">
      <c r="A945" s="172"/>
      <c r="D945" s="173"/>
      <c r="F945" s="173"/>
      <c r="H945" s="173"/>
    </row>
    <row r="946" spans="1:8">
      <c r="A946" s="172"/>
      <c r="D946" s="173"/>
      <c r="F946" s="173"/>
      <c r="H946" s="173"/>
    </row>
    <row r="947" spans="1:8">
      <c r="A947" s="172"/>
      <c r="D947" s="173"/>
      <c r="F947" s="173"/>
      <c r="H947" s="173"/>
    </row>
    <row r="948" spans="1:8">
      <c r="A948" s="172"/>
      <c r="D948" s="173"/>
      <c r="F948" s="173"/>
      <c r="H948" s="173"/>
    </row>
    <row r="949" spans="1:8">
      <c r="A949" s="172"/>
      <c r="D949" s="173"/>
      <c r="F949" s="173"/>
      <c r="H949" s="173"/>
    </row>
    <row r="950" spans="1:8">
      <c r="A950" s="172"/>
      <c r="D950" s="173"/>
      <c r="F950" s="173"/>
      <c r="H950" s="173"/>
    </row>
    <row r="951" spans="1:8">
      <c r="A951" s="172"/>
      <c r="D951" s="173"/>
      <c r="F951" s="173"/>
      <c r="H951" s="173"/>
    </row>
    <row r="952" spans="1:8">
      <c r="A952" s="172"/>
      <c r="D952" s="173"/>
      <c r="F952" s="173"/>
      <c r="H952" s="173"/>
    </row>
    <row r="953" spans="1:8">
      <c r="A953" s="172"/>
      <c r="D953" s="173"/>
      <c r="F953" s="173"/>
      <c r="H953" s="173"/>
    </row>
    <row r="954" spans="1:8">
      <c r="A954" s="172"/>
      <c r="D954" s="173"/>
      <c r="F954" s="173"/>
      <c r="H954" s="173"/>
    </row>
    <row r="955" spans="1:8">
      <c r="A955" s="172"/>
      <c r="D955" s="173"/>
      <c r="F955" s="173"/>
      <c r="H955" s="173"/>
    </row>
    <row r="956" spans="1:8">
      <c r="A956" s="172"/>
      <c r="D956" s="173"/>
      <c r="F956" s="173"/>
      <c r="H956" s="173"/>
    </row>
    <row r="957" spans="1:8">
      <c r="A957" s="172"/>
      <c r="D957" s="173"/>
      <c r="F957" s="173"/>
      <c r="H957" s="173"/>
    </row>
    <row r="958" spans="1:8">
      <c r="A958" s="172"/>
      <c r="D958" s="173"/>
      <c r="F958" s="173"/>
      <c r="H958" s="173"/>
    </row>
    <row r="959" spans="1:8">
      <c r="A959" s="172"/>
      <c r="D959" s="173"/>
      <c r="F959" s="173"/>
      <c r="H959" s="173"/>
    </row>
    <row r="960" spans="1:8">
      <c r="A960" s="172"/>
      <c r="D960" s="173"/>
      <c r="F960" s="173"/>
      <c r="H960" s="173"/>
    </row>
    <row r="961" spans="1:8">
      <c r="A961" s="172"/>
      <c r="D961" s="173"/>
      <c r="F961" s="173"/>
      <c r="H961" s="173"/>
    </row>
    <row r="962" spans="1:8">
      <c r="A962" s="172"/>
      <c r="D962" s="173"/>
      <c r="F962" s="173"/>
      <c r="H962" s="173"/>
    </row>
    <row r="963" spans="1:8">
      <c r="A963" s="172"/>
      <c r="D963" s="173"/>
      <c r="F963" s="173"/>
      <c r="H963" s="173"/>
    </row>
    <row r="964" spans="1:8">
      <c r="A964" s="172"/>
      <c r="D964" s="173"/>
      <c r="F964" s="173"/>
      <c r="H964" s="173"/>
    </row>
    <row r="965" spans="1:8">
      <c r="A965" s="172"/>
      <c r="D965" s="173"/>
      <c r="F965" s="173"/>
      <c r="H965" s="173"/>
    </row>
    <row r="966" spans="1:8">
      <c r="A966" s="172"/>
      <c r="D966" s="173"/>
      <c r="F966" s="173"/>
      <c r="H966" s="173"/>
    </row>
    <row r="967" spans="1:8">
      <c r="A967" s="172"/>
      <c r="D967" s="173"/>
      <c r="F967" s="173"/>
      <c r="H967" s="173"/>
    </row>
    <row r="968" spans="1:8">
      <c r="A968" s="172"/>
      <c r="D968" s="173"/>
      <c r="F968" s="173"/>
      <c r="H968" s="173"/>
    </row>
    <row r="969" spans="1:8">
      <c r="A969" s="172"/>
      <c r="D969" s="173"/>
      <c r="F969" s="173"/>
      <c r="H969" s="173"/>
    </row>
    <row r="970" spans="1:8">
      <c r="A970" s="172"/>
      <c r="D970" s="173"/>
      <c r="F970" s="173"/>
      <c r="H970" s="173"/>
    </row>
    <row r="971" spans="1:8">
      <c r="A971" s="172"/>
      <c r="D971" s="173"/>
      <c r="F971" s="173"/>
      <c r="H971" s="173"/>
    </row>
    <row r="972" spans="1:8">
      <c r="A972" s="172"/>
      <c r="D972" s="173"/>
      <c r="F972" s="173"/>
      <c r="H972" s="173"/>
    </row>
    <row r="973" spans="1:8">
      <c r="A973" s="172"/>
      <c r="D973" s="173"/>
      <c r="F973" s="173"/>
      <c r="H973" s="173"/>
    </row>
    <row r="974" spans="1:8">
      <c r="A974" s="172"/>
      <c r="D974" s="173"/>
      <c r="F974" s="173"/>
      <c r="H974" s="173"/>
    </row>
    <row r="975" spans="1:8">
      <c r="A975" s="172"/>
      <c r="D975" s="173"/>
      <c r="F975" s="173"/>
      <c r="H975" s="173"/>
    </row>
    <row r="976" spans="1:8">
      <c r="A976" s="172"/>
      <c r="D976" s="173"/>
      <c r="F976" s="173"/>
      <c r="H976" s="173"/>
    </row>
    <row r="977" spans="1:8">
      <c r="A977" s="172"/>
      <c r="D977" s="173"/>
      <c r="F977" s="173"/>
      <c r="H977" s="173"/>
    </row>
    <row r="978" spans="1:8">
      <c r="A978" s="172"/>
      <c r="D978" s="173"/>
      <c r="F978" s="173"/>
      <c r="H978" s="173"/>
    </row>
    <row r="979" spans="1:8">
      <c r="A979" s="172"/>
      <c r="D979" s="173"/>
      <c r="F979" s="173"/>
      <c r="H979" s="173"/>
    </row>
    <row r="980" spans="1:8">
      <c r="A980" s="172"/>
      <c r="D980" s="173"/>
      <c r="F980" s="173"/>
      <c r="H980" s="173"/>
    </row>
    <row r="981" spans="1:8">
      <c r="A981" s="172"/>
      <c r="D981" s="173"/>
      <c r="F981" s="173"/>
      <c r="H981" s="173"/>
    </row>
    <row r="982" spans="1:8">
      <c r="A982" s="172"/>
      <c r="D982" s="173"/>
      <c r="F982" s="173"/>
      <c r="H982" s="173"/>
    </row>
    <row r="983" spans="1:8">
      <c r="A983" s="172"/>
      <c r="D983" s="173"/>
      <c r="F983" s="173"/>
      <c r="H983" s="173"/>
    </row>
    <row r="984" spans="1:8">
      <c r="A984" s="172"/>
      <c r="D984" s="173"/>
      <c r="F984" s="173"/>
      <c r="H984" s="173"/>
    </row>
    <row r="985" spans="1:8">
      <c r="A985" s="172"/>
      <c r="D985" s="173"/>
      <c r="F985" s="173"/>
      <c r="H985" s="173"/>
    </row>
    <row r="986" spans="1:8">
      <c r="A986" s="172"/>
      <c r="D986" s="173"/>
      <c r="F986" s="173"/>
      <c r="H986" s="173"/>
    </row>
    <row r="987" spans="1:8">
      <c r="A987" s="172"/>
      <c r="D987" s="173"/>
      <c r="F987" s="173"/>
      <c r="H987" s="173"/>
    </row>
    <row r="988" spans="1:8">
      <c r="A988" s="172"/>
      <c r="D988" s="173"/>
      <c r="F988" s="173"/>
      <c r="H988" s="173"/>
    </row>
    <row r="989" spans="1:8">
      <c r="A989" s="172"/>
      <c r="D989" s="173"/>
      <c r="F989" s="173"/>
      <c r="H989" s="173"/>
    </row>
    <row r="990" spans="1:8">
      <c r="A990" s="172"/>
      <c r="D990" s="173"/>
      <c r="F990" s="173"/>
      <c r="H990" s="173"/>
    </row>
    <row r="991" spans="1:8">
      <c r="A991" s="172"/>
      <c r="D991" s="173"/>
      <c r="F991" s="173"/>
      <c r="H991" s="173"/>
    </row>
    <row r="992" spans="1:8">
      <c r="A992" s="172"/>
      <c r="D992" s="173"/>
      <c r="F992" s="173"/>
      <c r="H992" s="173"/>
    </row>
    <row r="993" spans="1:8">
      <c r="A993" s="172"/>
      <c r="D993" s="173"/>
      <c r="F993" s="173"/>
      <c r="H993" s="173"/>
    </row>
    <row r="994" spans="1:8">
      <c r="A994" s="172"/>
      <c r="D994" s="173"/>
      <c r="F994" s="173"/>
      <c r="H994" s="173"/>
    </row>
    <row r="995" spans="1:8">
      <c r="A995" s="172"/>
      <c r="D995" s="173"/>
      <c r="F995" s="173"/>
      <c r="H995" s="173"/>
    </row>
    <row r="996" spans="1:8">
      <c r="A996" s="172"/>
      <c r="D996" s="173"/>
      <c r="F996" s="173"/>
      <c r="H996" s="173"/>
    </row>
    <row r="997" spans="1:8">
      <c r="A997" s="172"/>
      <c r="D997" s="173"/>
      <c r="F997" s="173"/>
      <c r="H997" s="173"/>
    </row>
    <row r="998" spans="1:8">
      <c r="A998" s="172"/>
      <c r="D998" s="173"/>
      <c r="F998" s="173"/>
      <c r="H998" s="173"/>
    </row>
    <row r="999" spans="1:8">
      <c r="A999" s="172"/>
      <c r="D999" s="174"/>
      <c r="F999" s="174"/>
      <c r="H999" s="174"/>
    </row>
  </sheetData>
  <mergeCells count="2">
    <mergeCell ref="A1:H1"/>
    <mergeCell ref="A2:H2"/>
  </mergeCells>
  <dataValidations count="2">
    <dataValidation type="custom" allowBlank="1" showDropDown="1" sqref="A4:A500" xr:uid="{00000000-0002-0000-0300-000000000000}">
      <formula1>OR(NOT(ISERROR(DATEVALUE(A4))), AND(ISNUMBER(A4), LEFT(CELL("format", A4))="D"))</formula1>
    </dataValidation>
    <dataValidation type="custom" allowBlank="1" showDropDown="1" sqref="B4:H500" xr:uid="{00000000-0002-0000-0300-000001000000}">
      <formula1>AND(ISNUMBER(B4),(NOT(OR(NOT(ISERROR(DATEVALUE(B4))), AND(ISNUMBER(B4), LEFT(CELL("format", B4))="D")))))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93FF"/>
  </sheetPr>
  <dimension ref="A1:J83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10" customWidth="1"/>
    <col min="2" max="2" width="20" customWidth="1"/>
    <col min="3" max="3" width="28" customWidth="1"/>
    <col min="4" max="4" width="23.85546875" customWidth="1"/>
    <col min="5" max="5" width="16" customWidth="1"/>
    <col min="6" max="6" width="25" customWidth="1"/>
    <col min="7" max="7" width="21" customWidth="1"/>
    <col min="8" max="8" width="22.140625" customWidth="1"/>
    <col min="9" max="9" width="21.85546875" customWidth="1"/>
    <col min="10" max="10" width="40" customWidth="1"/>
  </cols>
  <sheetData>
    <row r="1" spans="1:10" ht="30" customHeight="1">
      <c r="A1" s="33" t="s">
        <v>13</v>
      </c>
      <c r="B1" s="33" t="s">
        <v>10</v>
      </c>
      <c r="C1" s="33" t="s">
        <v>14</v>
      </c>
      <c r="D1" s="33" t="s">
        <v>15</v>
      </c>
      <c r="E1" s="33" t="s">
        <v>19</v>
      </c>
      <c r="F1" s="33" t="s">
        <v>20</v>
      </c>
      <c r="G1" s="33" t="s">
        <v>1254</v>
      </c>
      <c r="H1" s="33" t="s">
        <v>1255</v>
      </c>
      <c r="I1" s="33" t="s">
        <v>26</v>
      </c>
      <c r="J1" s="33" t="s">
        <v>1256</v>
      </c>
    </row>
    <row r="2" spans="1:10" ht="19.5" customHeight="1">
      <c r="A2" s="175" t="s">
        <v>1257</v>
      </c>
      <c r="B2" s="36" t="s">
        <v>255</v>
      </c>
      <c r="C2" s="36" t="s">
        <v>256</v>
      </c>
      <c r="D2" s="36" t="s">
        <v>257</v>
      </c>
      <c r="E2" s="176" t="s">
        <v>1258</v>
      </c>
      <c r="F2" s="36" t="s">
        <v>262</v>
      </c>
      <c r="G2" s="38">
        <v>46160</v>
      </c>
      <c r="H2" s="36" t="s">
        <v>264</v>
      </c>
      <c r="I2" s="177"/>
      <c r="J2" s="176"/>
    </row>
    <row r="3" spans="1:10" ht="19.5" customHeight="1">
      <c r="A3" s="178" t="s">
        <v>1259</v>
      </c>
      <c r="B3" s="46" t="s">
        <v>242</v>
      </c>
      <c r="C3" s="46" t="s">
        <v>619</v>
      </c>
      <c r="D3" s="46" t="s">
        <v>620</v>
      </c>
      <c r="E3" s="46" t="s">
        <v>622</v>
      </c>
      <c r="F3" s="46" t="s">
        <v>623</v>
      </c>
      <c r="G3" s="44">
        <v>46196</v>
      </c>
      <c r="H3" s="39" t="s">
        <v>264</v>
      </c>
      <c r="I3" s="179"/>
      <c r="J3" s="46"/>
    </row>
    <row r="4" spans="1:10" ht="19.5" customHeight="1">
      <c r="A4" s="178"/>
      <c r="B4" s="46"/>
      <c r="C4" s="46"/>
      <c r="D4" s="46"/>
      <c r="E4" s="46"/>
      <c r="F4" s="46"/>
      <c r="G4" s="44"/>
      <c r="H4" s="39"/>
      <c r="I4" s="179"/>
      <c r="J4" s="46"/>
    </row>
    <row r="5" spans="1:10" ht="19.5" customHeight="1">
      <c r="A5" s="178"/>
      <c r="B5" s="46"/>
      <c r="C5" s="46"/>
      <c r="D5" s="46"/>
      <c r="E5" s="46"/>
      <c r="F5" s="46"/>
      <c r="G5" s="44"/>
      <c r="H5" s="39"/>
      <c r="I5" s="179"/>
      <c r="J5" s="46"/>
    </row>
    <row r="6" spans="1:10" ht="15.75" customHeight="1">
      <c r="A6" s="178"/>
      <c r="B6" s="46"/>
      <c r="C6" s="46"/>
      <c r="D6" s="46"/>
      <c r="E6" s="46"/>
      <c r="F6" s="46"/>
      <c r="G6" s="39"/>
      <c r="H6" s="39"/>
      <c r="I6" s="179"/>
      <c r="J6" s="46"/>
    </row>
    <row r="7" spans="1:10" ht="15.75" customHeight="1">
      <c r="A7" s="178"/>
      <c r="B7" s="46"/>
      <c r="C7" s="46"/>
      <c r="D7" s="46"/>
      <c r="E7" s="46"/>
      <c r="F7" s="46"/>
      <c r="G7" s="39"/>
      <c r="H7" s="39"/>
      <c r="I7" s="179"/>
      <c r="J7" s="46"/>
    </row>
    <row r="8" spans="1:10" ht="15.75" customHeight="1">
      <c r="A8" s="178"/>
      <c r="B8" s="46"/>
      <c r="C8" s="46"/>
      <c r="D8" s="46"/>
      <c r="E8" s="46"/>
      <c r="F8" s="46"/>
      <c r="G8" s="39"/>
      <c r="H8" s="39"/>
      <c r="I8" s="179"/>
      <c r="J8" s="46"/>
    </row>
    <row r="9" spans="1:10" ht="15.75" customHeight="1">
      <c r="A9" s="178"/>
      <c r="B9" s="46"/>
      <c r="C9" s="46"/>
      <c r="D9" s="46"/>
      <c r="E9" s="46"/>
      <c r="F9" s="46"/>
      <c r="G9" s="39"/>
      <c r="H9" s="39"/>
      <c r="I9" s="179"/>
      <c r="J9" s="46"/>
    </row>
    <row r="10" spans="1:10" ht="15.75" customHeight="1">
      <c r="A10" s="178"/>
      <c r="B10" s="46"/>
      <c r="C10" s="46"/>
      <c r="D10" s="46"/>
      <c r="E10" s="46"/>
      <c r="F10" s="46"/>
      <c r="G10" s="39"/>
      <c r="H10" s="39"/>
      <c r="I10" s="179"/>
      <c r="J10" s="46"/>
    </row>
    <row r="11" spans="1:10" ht="15.75" customHeight="1">
      <c r="A11" s="180"/>
      <c r="B11" s="181"/>
      <c r="C11" s="181"/>
      <c r="D11" s="181"/>
      <c r="E11" s="181"/>
      <c r="F11" s="181"/>
      <c r="G11" s="181"/>
      <c r="H11" s="181"/>
      <c r="I11" s="182"/>
      <c r="J11" s="181"/>
    </row>
    <row r="12" spans="1:10" ht="15.75" customHeight="1">
      <c r="A12" s="180"/>
      <c r="B12" s="181"/>
      <c r="C12" s="181"/>
      <c r="D12" s="181"/>
      <c r="E12" s="181"/>
      <c r="F12" s="181"/>
      <c r="G12" s="181"/>
      <c r="H12" s="181"/>
      <c r="I12" s="182"/>
      <c r="J12" s="181"/>
    </row>
    <row r="13" spans="1:10" ht="15.75" customHeight="1">
      <c r="A13" s="180"/>
      <c r="B13" s="181"/>
      <c r="C13" s="181"/>
      <c r="D13" s="181"/>
      <c r="E13" s="181"/>
      <c r="F13" s="181"/>
      <c r="G13" s="181"/>
      <c r="H13" s="181"/>
      <c r="I13" s="182"/>
      <c r="J13" s="181"/>
    </row>
    <row r="14" spans="1:10" ht="15.75" customHeight="1">
      <c r="A14" s="180"/>
      <c r="B14" s="181"/>
      <c r="C14" s="181"/>
      <c r="D14" s="181"/>
      <c r="E14" s="181"/>
      <c r="F14" s="181"/>
      <c r="G14" s="181"/>
      <c r="H14" s="181"/>
      <c r="I14" s="182"/>
      <c r="J14" s="181"/>
    </row>
    <row r="15" spans="1:10" ht="15.75" customHeight="1">
      <c r="A15" s="180"/>
      <c r="B15" s="181"/>
      <c r="C15" s="181"/>
      <c r="D15" s="181"/>
      <c r="E15" s="181"/>
      <c r="F15" s="181"/>
      <c r="G15" s="181"/>
      <c r="H15" s="181"/>
      <c r="I15" s="182"/>
      <c r="J15" s="181"/>
    </row>
    <row r="16" spans="1:10" ht="15.75" customHeight="1">
      <c r="A16" s="180"/>
      <c r="B16" s="181"/>
      <c r="C16" s="181"/>
      <c r="D16" s="181"/>
      <c r="E16" s="181"/>
      <c r="F16" s="181"/>
      <c r="G16" s="181"/>
      <c r="H16" s="181"/>
      <c r="I16" s="182"/>
      <c r="J16" s="181"/>
    </row>
    <row r="17" spans="1:10" ht="15.75" customHeight="1">
      <c r="A17" s="180"/>
      <c r="B17" s="181"/>
      <c r="C17" s="181"/>
      <c r="D17" s="181"/>
      <c r="E17" s="181"/>
      <c r="F17" s="181"/>
      <c r="G17" s="181"/>
      <c r="H17" s="181"/>
      <c r="I17" s="182"/>
      <c r="J17" s="181"/>
    </row>
    <row r="18" spans="1:10" ht="15.75" customHeight="1">
      <c r="A18" s="180"/>
      <c r="B18" s="181"/>
      <c r="C18" s="181"/>
      <c r="D18" s="181"/>
      <c r="E18" s="181"/>
      <c r="F18" s="181"/>
      <c r="G18" s="181"/>
      <c r="H18" s="181"/>
      <c r="I18" s="182"/>
      <c r="J18" s="181"/>
    </row>
    <row r="19" spans="1:10" ht="15.75" customHeight="1">
      <c r="A19" s="180"/>
      <c r="B19" s="181"/>
      <c r="C19" s="181"/>
      <c r="D19" s="181"/>
      <c r="E19" s="181"/>
      <c r="F19" s="181"/>
      <c r="G19" s="181"/>
      <c r="H19" s="181"/>
      <c r="I19" s="182"/>
      <c r="J19" s="181"/>
    </row>
    <row r="20" spans="1:10" ht="15.75" customHeight="1">
      <c r="A20" s="180"/>
      <c r="B20" s="181"/>
      <c r="C20" s="181"/>
      <c r="D20" s="181"/>
      <c r="E20" s="181"/>
      <c r="F20" s="181"/>
      <c r="G20" s="181"/>
      <c r="H20" s="181"/>
      <c r="I20" s="182"/>
      <c r="J20" s="181"/>
    </row>
    <row r="21" spans="1:10" ht="15.75" customHeight="1">
      <c r="A21" s="180"/>
      <c r="B21" s="181"/>
      <c r="C21" s="181"/>
      <c r="D21" s="181"/>
      <c r="E21" s="181"/>
      <c r="F21" s="181"/>
      <c r="G21" s="181"/>
      <c r="H21" s="181"/>
      <c r="I21" s="182"/>
      <c r="J21" s="181"/>
    </row>
    <row r="22" spans="1:10" ht="15.75" customHeight="1">
      <c r="A22" s="180"/>
      <c r="B22" s="181"/>
      <c r="C22" s="181"/>
      <c r="D22" s="181"/>
      <c r="E22" s="181"/>
      <c r="F22" s="181"/>
      <c r="G22" s="181"/>
      <c r="H22" s="181"/>
      <c r="I22" s="182"/>
      <c r="J22" s="181"/>
    </row>
    <row r="23" spans="1:10" ht="15.75" customHeight="1">
      <c r="A23" s="180"/>
      <c r="B23" s="181"/>
      <c r="C23" s="181"/>
      <c r="D23" s="181"/>
      <c r="E23" s="181"/>
      <c r="F23" s="181"/>
      <c r="G23" s="181"/>
      <c r="H23" s="181"/>
      <c r="I23" s="182"/>
      <c r="J23" s="181"/>
    </row>
    <row r="24" spans="1:10" ht="15.75" customHeight="1">
      <c r="A24" s="180"/>
      <c r="B24" s="181"/>
      <c r="C24" s="181"/>
      <c r="D24" s="181"/>
      <c r="E24" s="181"/>
      <c r="F24" s="181"/>
      <c r="G24" s="181"/>
      <c r="H24" s="181"/>
      <c r="I24" s="182"/>
      <c r="J24" s="181"/>
    </row>
    <row r="25" spans="1:10" ht="15.75" customHeight="1">
      <c r="A25" s="180"/>
      <c r="B25" s="181"/>
      <c r="C25" s="181"/>
      <c r="D25" s="181"/>
      <c r="E25" s="181"/>
      <c r="F25" s="181"/>
      <c r="G25" s="181"/>
      <c r="H25" s="181"/>
      <c r="I25" s="182"/>
      <c r="J25" s="181"/>
    </row>
    <row r="26" spans="1:10" ht="15.75" customHeight="1">
      <c r="A26" s="180"/>
      <c r="B26" s="181"/>
      <c r="C26" s="181"/>
      <c r="D26" s="181"/>
      <c r="E26" s="181"/>
      <c r="F26" s="181"/>
      <c r="G26" s="181"/>
      <c r="H26" s="181"/>
      <c r="I26" s="182"/>
      <c r="J26" s="181"/>
    </row>
    <row r="27" spans="1:10" ht="15.75" customHeight="1">
      <c r="A27" s="180"/>
      <c r="B27" s="181"/>
      <c r="C27" s="181"/>
      <c r="D27" s="181"/>
      <c r="E27" s="181"/>
      <c r="F27" s="181"/>
      <c r="G27" s="181"/>
      <c r="H27" s="181"/>
      <c r="I27" s="182"/>
      <c r="J27" s="181"/>
    </row>
    <row r="28" spans="1:10" ht="15.75" customHeight="1">
      <c r="A28" s="180"/>
      <c r="B28" s="181"/>
      <c r="C28" s="181"/>
      <c r="D28" s="181"/>
      <c r="E28" s="181"/>
      <c r="F28" s="181"/>
      <c r="G28" s="181"/>
      <c r="H28" s="181"/>
      <c r="I28" s="182"/>
      <c r="J28" s="181"/>
    </row>
    <row r="29" spans="1:10" ht="15.75" customHeight="1">
      <c r="A29" s="180"/>
      <c r="B29" s="181"/>
      <c r="C29" s="181"/>
      <c r="D29" s="181"/>
      <c r="E29" s="181"/>
      <c r="F29" s="181"/>
      <c r="G29" s="181"/>
      <c r="H29" s="181"/>
      <c r="I29" s="182"/>
      <c r="J29" s="181"/>
    </row>
    <row r="30" spans="1:10" ht="15.75" customHeight="1">
      <c r="A30" s="180"/>
      <c r="B30" s="181"/>
      <c r="C30" s="181"/>
      <c r="D30" s="181"/>
      <c r="E30" s="181"/>
      <c r="F30" s="181"/>
      <c r="G30" s="181"/>
      <c r="H30" s="181"/>
      <c r="I30" s="182"/>
      <c r="J30" s="181"/>
    </row>
    <row r="31" spans="1:10" ht="15.75" customHeight="1">
      <c r="A31" s="180"/>
      <c r="B31" s="181"/>
      <c r="C31" s="181"/>
      <c r="D31" s="181"/>
      <c r="E31" s="181"/>
      <c r="F31" s="181"/>
      <c r="G31" s="181"/>
      <c r="H31" s="181"/>
      <c r="I31" s="182"/>
      <c r="J31" s="181"/>
    </row>
    <row r="32" spans="1:10" ht="15.75" customHeight="1">
      <c r="A32" s="180"/>
      <c r="B32" s="181"/>
      <c r="C32" s="181"/>
      <c r="D32" s="181"/>
      <c r="E32" s="181"/>
      <c r="F32" s="181"/>
      <c r="G32" s="181"/>
      <c r="H32" s="181"/>
      <c r="I32" s="182"/>
      <c r="J32" s="181"/>
    </row>
    <row r="33" spans="1:10" ht="15.75" customHeight="1">
      <c r="A33" s="180"/>
      <c r="B33" s="181"/>
      <c r="C33" s="181"/>
      <c r="D33" s="181"/>
      <c r="E33" s="181"/>
      <c r="F33" s="181"/>
      <c r="G33" s="181"/>
      <c r="H33" s="181"/>
      <c r="I33" s="182"/>
      <c r="J33" s="181"/>
    </row>
    <row r="34" spans="1:10" ht="15.75" customHeight="1">
      <c r="A34" s="180"/>
      <c r="B34" s="181"/>
      <c r="C34" s="181"/>
      <c r="D34" s="181"/>
      <c r="E34" s="181"/>
      <c r="F34" s="181"/>
      <c r="G34" s="181"/>
      <c r="H34" s="181"/>
      <c r="I34" s="182"/>
      <c r="J34" s="181"/>
    </row>
    <row r="35" spans="1:10" ht="15.75" customHeight="1">
      <c r="A35" s="180"/>
      <c r="B35" s="181"/>
      <c r="C35" s="181"/>
      <c r="D35" s="181"/>
      <c r="E35" s="181"/>
      <c r="F35" s="181"/>
      <c r="G35" s="181"/>
      <c r="H35" s="181"/>
      <c r="I35" s="182"/>
      <c r="J35" s="181"/>
    </row>
    <row r="36" spans="1:10" ht="15.75" customHeight="1">
      <c r="A36" s="180"/>
      <c r="B36" s="181"/>
      <c r="C36" s="181"/>
      <c r="D36" s="181"/>
      <c r="E36" s="181"/>
      <c r="F36" s="181"/>
      <c r="G36" s="181"/>
      <c r="H36" s="181"/>
      <c r="I36" s="182"/>
      <c r="J36" s="181"/>
    </row>
    <row r="37" spans="1:10" ht="15.75" customHeight="1">
      <c r="A37" s="180"/>
      <c r="B37" s="181"/>
      <c r="C37" s="181"/>
      <c r="D37" s="181"/>
      <c r="E37" s="181"/>
      <c r="F37" s="181"/>
      <c r="G37" s="181"/>
      <c r="H37" s="181"/>
      <c r="I37" s="182"/>
      <c r="J37" s="181"/>
    </row>
    <row r="38" spans="1:10" ht="15.75" customHeight="1">
      <c r="A38" s="180"/>
      <c r="B38" s="181"/>
      <c r="C38" s="181"/>
      <c r="D38" s="181"/>
      <c r="E38" s="181"/>
      <c r="F38" s="181"/>
      <c r="G38" s="181"/>
      <c r="H38" s="181"/>
      <c r="I38" s="182"/>
      <c r="J38" s="181"/>
    </row>
    <row r="39" spans="1:10" ht="15.75" customHeight="1">
      <c r="A39" s="180"/>
      <c r="B39" s="181"/>
      <c r="C39" s="181"/>
      <c r="D39" s="181"/>
      <c r="E39" s="181"/>
      <c r="F39" s="181"/>
      <c r="G39" s="181"/>
      <c r="H39" s="181"/>
      <c r="I39" s="182"/>
      <c r="J39" s="181"/>
    </row>
    <row r="40" spans="1:10" ht="15.75" customHeight="1">
      <c r="A40" s="180"/>
      <c r="B40" s="181"/>
      <c r="C40" s="181"/>
      <c r="D40" s="181"/>
      <c r="E40" s="181"/>
      <c r="F40" s="181"/>
      <c r="G40" s="181"/>
      <c r="H40" s="181"/>
      <c r="I40" s="182"/>
      <c r="J40" s="181"/>
    </row>
    <row r="41" spans="1:10" ht="15.75" customHeight="1">
      <c r="A41" s="180"/>
      <c r="B41" s="181"/>
      <c r="C41" s="181"/>
      <c r="D41" s="181"/>
      <c r="E41" s="181"/>
      <c r="F41" s="181"/>
      <c r="G41" s="181"/>
      <c r="H41" s="181"/>
      <c r="I41" s="182"/>
      <c r="J41" s="181"/>
    </row>
    <row r="42" spans="1:10" ht="15.75" customHeight="1">
      <c r="A42" s="180"/>
      <c r="B42" s="181"/>
      <c r="C42" s="181"/>
      <c r="D42" s="181"/>
      <c r="E42" s="181"/>
      <c r="F42" s="181"/>
      <c r="G42" s="181"/>
      <c r="H42" s="181"/>
      <c r="I42" s="182"/>
      <c r="J42" s="181"/>
    </row>
    <row r="43" spans="1:10" ht="15.75" customHeight="1">
      <c r="A43" s="180"/>
      <c r="B43" s="181"/>
      <c r="C43" s="181"/>
      <c r="D43" s="181"/>
      <c r="E43" s="181"/>
      <c r="F43" s="181"/>
      <c r="G43" s="181"/>
      <c r="H43" s="181"/>
      <c r="I43" s="182"/>
      <c r="J43" s="181"/>
    </row>
    <row r="44" spans="1:10" ht="15.75" customHeight="1">
      <c r="A44" s="180"/>
      <c r="B44" s="181"/>
      <c r="C44" s="181"/>
      <c r="D44" s="181"/>
      <c r="E44" s="181"/>
      <c r="F44" s="181"/>
      <c r="G44" s="181"/>
      <c r="H44" s="181"/>
      <c r="I44" s="182"/>
      <c r="J44" s="181"/>
    </row>
    <row r="45" spans="1:10" ht="15.75" customHeight="1">
      <c r="A45" s="180"/>
      <c r="B45" s="181"/>
      <c r="C45" s="181"/>
      <c r="D45" s="181"/>
      <c r="E45" s="181"/>
      <c r="F45" s="181"/>
      <c r="G45" s="181"/>
      <c r="H45" s="181"/>
      <c r="I45" s="182"/>
      <c r="J45" s="181"/>
    </row>
    <row r="46" spans="1:10" ht="15.75" customHeight="1">
      <c r="A46" s="180"/>
      <c r="B46" s="181"/>
      <c r="C46" s="181"/>
      <c r="D46" s="181"/>
      <c r="E46" s="181"/>
      <c r="F46" s="181"/>
      <c r="G46" s="181"/>
      <c r="H46" s="181"/>
      <c r="I46" s="182"/>
      <c r="J46" s="181"/>
    </row>
    <row r="47" spans="1:10" ht="15.75" customHeight="1">
      <c r="A47" s="180"/>
      <c r="B47" s="181"/>
      <c r="C47" s="181"/>
      <c r="D47" s="181"/>
      <c r="E47" s="181"/>
      <c r="F47" s="181"/>
      <c r="G47" s="181"/>
      <c r="H47" s="181"/>
      <c r="I47" s="182"/>
      <c r="J47" s="181"/>
    </row>
    <row r="48" spans="1:10" ht="15.75" customHeight="1">
      <c r="A48" s="180"/>
      <c r="B48" s="181"/>
      <c r="C48" s="181"/>
      <c r="D48" s="181"/>
      <c r="E48" s="181"/>
      <c r="F48" s="181"/>
      <c r="G48" s="181"/>
      <c r="H48" s="181"/>
      <c r="I48" s="182"/>
      <c r="J48" s="181"/>
    </row>
    <row r="49" spans="1:10" ht="15.75" customHeight="1">
      <c r="A49" s="180"/>
      <c r="B49" s="181"/>
      <c r="C49" s="181"/>
      <c r="D49" s="181"/>
      <c r="E49" s="181"/>
      <c r="F49" s="181"/>
      <c r="G49" s="181"/>
      <c r="H49" s="181"/>
      <c r="I49" s="182"/>
      <c r="J49" s="181"/>
    </row>
    <row r="50" spans="1:10" ht="15.75" customHeight="1">
      <c r="A50" s="180"/>
      <c r="B50" s="181"/>
      <c r="C50" s="181"/>
      <c r="D50" s="181"/>
      <c r="E50" s="181"/>
      <c r="F50" s="181"/>
      <c r="G50" s="181"/>
      <c r="H50" s="181"/>
      <c r="I50" s="182"/>
      <c r="J50" s="181"/>
    </row>
    <row r="51" spans="1:10" ht="15.75" customHeight="1">
      <c r="A51" s="180"/>
      <c r="B51" s="181"/>
      <c r="C51" s="181"/>
      <c r="D51" s="181"/>
      <c r="E51" s="181"/>
      <c r="F51" s="181"/>
      <c r="G51" s="181"/>
      <c r="H51" s="181"/>
      <c r="I51" s="182"/>
      <c r="J51" s="181"/>
    </row>
    <row r="52" spans="1:10" ht="15.75" customHeight="1">
      <c r="A52" s="180"/>
      <c r="B52" s="181"/>
      <c r="C52" s="181"/>
      <c r="D52" s="181"/>
      <c r="E52" s="181"/>
      <c r="F52" s="181"/>
      <c r="G52" s="181"/>
      <c r="H52" s="181"/>
      <c r="I52" s="182"/>
      <c r="J52" s="181"/>
    </row>
    <row r="53" spans="1:10" ht="15.75" customHeight="1">
      <c r="A53" s="180"/>
      <c r="B53" s="181"/>
      <c r="C53" s="181"/>
      <c r="D53" s="181"/>
      <c r="E53" s="181"/>
      <c r="F53" s="181"/>
      <c r="G53" s="181"/>
      <c r="H53" s="181"/>
      <c r="I53" s="182"/>
      <c r="J53" s="181"/>
    </row>
    <row r="54" spans="1:10" ht="15.75" customHeight="1">
      <c r="A54" s="180"/>
      <c r="B54" s="181"/>
      <c r="C54" s="181"/>
      <c r="D54" s="181"/>
      <c r="E54" s="181"/>
      <c r="F54" s="181"/>
      <c r="G54" s="181"/>
      <c r="H54" s="181"/>
      <c r="I54" s="182"/>
      <c r="J54" s="181"/>
    </row>
    <row r="55" spans="1:10" ht="15.75" customHeight="1">
      <c r="A55" s="180"/>
      <c r="B55" s="181"/>
      <c r="C55" s="181"/>
      <c r="D55" s="181"/>
      <c r="E55" s="181"/>
      <c r="F55" s="181"/>
      <c r="G55" s="181"/>
      <c r="H55" s="181"/>
      <c r="I55" s="182"/>
      <c r="J55" s="181"/>
    </row>
    <row r="56" spans="1:10" ht="15.75" customHeight="1">
      <c r="A56" s="180"/>
      <c r="B56" s="181"/>
      <c r="C56" s="181"/>
      <c r="D56" s="181"/>
      <c r="E56" s="181"/>
      <c r="F56" s="181"/>
      <c r="G56" s="181"/>
      <c r="H56" s="181"/>
      <c r="I56" s="182"/>
      <c r="J56" s="181"/>
    </row>
    <row r="57" spans="1:10" ht="15.75" customHeight="1">
      <c r="A57" s="180"/>
      <c r="B57" s="181"/>
      <c r="C57" s="181"/>
      <c r="D57" s="181"/>
      <c r="E57" s="181"/>
      <c r="F57" s="181"/>
      <c r="G57" s="181"/>
      <c r="H57" s="181"/>
      <c r="I57" s="182"/>
      <c r="J57" s="181"/>
    </row>
    <row r="58" spans="1:10" ht="15.75" customHeight="1">
      <c r="A58" s="180"/>
      <c r="B58" s="181"/>
      <c r="C58" s="181"/>
      <c r="D58" s="181"/>
      <c r="E58" s="181"/>
      <c r="F58" s="181"/>
      <c r="G58" s="181"/>
      <c r="H58" s="181"/>
      <c r="I58" s="182"/>
      <c r="J58" s="181"/>
    </row>
    <row r="59" spans="1:10" ht="15.75" customHeight="1">
      <c r="A59" s="180"/>
      <c r="B59" s="181"/>
      <c r="C59" s="181"/>
      <c r="D59" s="181"/>
      <c r="E59" s="181"/>
      <c r="F59" s="181"/>
      <c r="G59" s="181"/>
      <c r="H59" s="181"/>
      <c r="I59" s="182"/>
      <c r="J59" s="181"/>
    </row>
    <row r="60" spans="1:10" ht="15.75" customHeight="1">
      <c r="A60" s="180"/>
      <c r="B60" s="181"/>
      <c r="C60" s="181"/>
      <c r="D60" s="181"/>
      <c r="E60" s="181"/>
      <c r="F60" s="181"/>
      <c r="G60" s="181"/>
      <c r="H60" s="181"/>
      <c r="I60" s="182"/>
      <c r="J60" s="181"/>
    </row>
    <row r="61" spans="1:10" ht="15.75" customHeight="1">
      <c r="A61" s="180"/>
      <c r="B61" s="181"/>
      <c r="C61" s="181"/>
      <c r="D61" s="181"/>
      <c r="E61" s="181"/>
      <c r="F61" s="181"/>
      <c r="G61" s="181"/>
      <c r="H61" s="181"/>
      <c r="I61" s="182"/>
      <c r="J61" s="181"/>
    </row>
    <row r="62" spans="1:10" ht="15.75" customHeight="1">
      <c r="A62" s="180"/>
      <c r="B62" s="181"/>
      <c r="C62" s="181"/>
      <c r="D62" s="181"/>
      <c r="E62" s="181"/>
      <c r="F62" s="181"/>
      <c r="G62" s="181"/>
      <c r="H62" s="181"/>
      <c r="I62" s="182"/>
      <c r="J62" s="181"/>
    </row>
    <row r="63" spans="1:10" ht="15.75" customHeight="1">
      <c r="A63" s="180"/>
      <c r="B63" s="181"/>
      <c r="C63" s="181"/>
      <c r="D63" s="181"/>
      <c r="E63" s="181"/>
      <c r="F63" s="181"/>
      <c r="G63" s="181"/>
      <c r="H63" s="181"/>
      <c r="I63" s="182"/>
      <c r="J63" s="181"/>
    </row>
    <row r="64" spans="1:10" ht="15.75" customHeight="1">
      <c r="A64" s="180"/>
      <c r="B64" s="181"/>
      <c r="C64" s="181"/>
      <c r="D64" s="181"/>
      <c r="E64" s="181"/>
      <c r="F64" s="181"/>
      <c r="G64" s="181"/>
      <c r="H64" s="181"/>
      <c r="I64" s="182"/>
      <c r="J64" s="181"/>
    </row>
    <row r="65" spans="1:10" ht="15.75" customHeight="1">
      <c r="A65" s="180"/>
      <c r="B65" s="181"/>
      <c r="C65" s="181"/>
      <c r="D65" s="181"/>
      <c r="E65" s="181"/>
      <c r="F65" s="181"/>
      <c r="G65" s="181"/>
      <c r="H65" s="181"/>
      <c r="I65" s="182"/>
      <c r="J65" s="181"/>
    </row>
    <row r="66" spans="1:10" ht="15.75" customHeight="1">
      <c r="A66" s="180"/>
      <c r="B66" s="181"/>
      <c r="C66" s="181"/>
      <c r="D66" s="181"/>
      <c r="E66" s="181"/>
      <c r="F66" s="181"/>
      <c r="G66" s="181"/>
      <c r="H66" s="181"/>
      <c r="I66" s="182"/>
      <c r="J66" s="181"/>
    </row>
    <row r="67" spans="1:10" ht="15.75" customHeight="1">
      <c r="A67" s="180"/>
      <c r="B67" s="181"/>
      <c r="C67" s="181"/>
      <c r="D67" s="181"/>
      <c r="E67" s="181"/>
      <c r="F67" s="181"/>
      <c r="G67" s="181"/>
      <c r="H67" s="181"/>
      <c r="I67" s="182"/>
      <c r="J67" s="181"/>
    </row>
    <row r="68" spans="1:10" ht="15.75" customHeight="1">
      <c r="A68" s="180"/>
      <c r="B68" s="181"/>
      <c r="C68" s="181"/>
      <c r="D68" s="181"/>
      <c r="E68" s="181"/>
      <c r="F68" s="181"/>
      <c r="G68" s="181"/>
      <c r="H68" s="181"/>
      <c r="I68" s="182"/>
      <c r="J68" s="181"/>
    </row>
    <row r="69" spans="1:10" ht="15.75" customHeight="1">
      <c r="A69" s="180"/>
      <c r="B69" s="181"/>
      <c r="C69" s="181"/>
      <c r="D69" s="181"/>
      <c r="E69" s="181"/>
      <c r="F69" s="181"/>
      <c r="G69" s="181"/>
      <c r="H69" s="181"/>
      <c r="I69" s="182"/>
      <c r="J69" s="181"/>
    </row>
    <row r="70" spans="1:10" ht="15.75" customHeight="1">
      <c r="A70" s="180"/>
      <c r="B70" s="181"/>
      <c r="C70" s="181"/>
      <c r="D70" s="181"/>
      <c r="E70" s="181"/>
      <c r="F70" s="181"/>
      <c r="G70" s="181"/>
      <c r="H70" s="181"/>
      <c r="I70" s="182"/>
      <c r="J70" s="181"/>
    </row>
    <row r="71" spans="1:10" ht="15.75" customHeight="1">
      <c r="A71" s="180"/>
      <c r="B71" s="181"/>
      <c r="C71" s="181"/>
      <c r="D71" s="181"/>
      <c r="E71" s="181"/>
      <c r="F71" s="181"/>
      <c r="G71" s="181"/>
      <c r="H71" s="181"/>
      <c r="I71" s="182"/>
      <c r="J71" s="181"/>
    </row>
    <row r="72" spans="1:10" ht="15.75" customHeight="1">
      <c r="A72" s="180"/>
      <c r="B72" s="181"/>
      <c r="C72" s="181"/>
      <c r="D72" s="181"/>
      <c r="E72" s="181"/>
      <c r="F72" s="181"/>
      <c r="G72" s="181"/>
      <c r="H72" s="181"/>
      <c r="I72" s="182"/>
      <c r="J72" s="181"/>
    </row>
    <row r="73" spans="1:10" ht="15.75" customHeight="1">
      <c r="A73" s="180"/>
      <c r="B73" s="181"/>
      <c r="C73" s="181"/>
      <c r="D73" s="181"/>
      <c r="E73" s="181"/>
      <c r="F73" s="181"/>
      <c r="G73" s="181"/>
      <c r="H73" s="181"/>
      <c r="I73" s="182"/>
      <c r="J73" s="181"/>
    </row>
    <row r="74" spans="1:10" ht="15.75" customHeight="1">
      <c r="A74" s="180"/>
      <c r="B74" s="181"/>
      <c r="C74" s="181"/>
      <c r="D74" s="181"/>
      <c r="E74" s="181"/>
      <c r="F74" s="181"/>
      <c r="G74" s="181"/>
      <c r="H74" s="181"/>
      <c r="I74" s="182"/>
      <c r="J74" s="181"/>
    </row>
    <row r="75" spans="1:10" ht="15.75" customHeight="1">
      <c r="A75" s="180"/>
      <c r="B75" s="181"/>
      <c r="C75" s="181"/>
      <c r="D75" s="181"/>
      <c r="E75" s="181"/>
      <c r="F75" s="181"/>
      <c r="G75" s="181"/>
      <c r="H75" s="181"/>
      <c r="I75" s="182"/>
      <c r="J75" s="181"/>
    </row>
    <row r="76" spans="1:10" ht="15.75" customHeight="1">
      <c r="A76" s="180"/>
      <c r="B76" s="181"/>
      <c r="C76" s="181"/>
      <c r="D76" s="181"/>
      <c r="E76" s="181"/>
      <c r="F76" s="181"/>
      <c r="G76" s="181"/>
      <c r="H76" s="181"/>
      <c r="I76" s="182"/>
      <c r="J76" s="181"/>
    </row>
    <row r="77" spans="1:10" ht="15.75" customHeight="1">
      <c r="A77" s="180"/>
      <c r="B77" s="181"/>
      <c r="C77" s="181"/>
      <c r="D77" s="181"/>
      <c r="E77" s="181"/>
      <c r="F77" s="181"/>
      <c r="G77" s="181"/>
      <c r="H77" s="181"/>
      <c r="I77" s="182"/>
      <c r="J77" s="181"/>
    </row>
    <row r="78" spans="1:10" ht="15.75" customHeight="1">
      <c r="A78" s="180"/>
      <c r="B78" s="181"/>
      <c r="C78" s="181"/>
      <c r="D78" s="181"/>
      <c r="E78" s="181"/>
      <c r="F78" s="181"/>
      <c r="G78" s="181"/>
      <c r="H78" s="181"/>
      <c r="I78" s="182"/>
      <c r="J78" s="181"/>
    </row>
    <row r="79" spans="1:10" ht="15.75" customHeight="1">
      <c r="A79" s="180"/>
      <c r="B79" s="181"/>
      <c r="C79" s="181"/>
      <c r="D79" s="181"/>
      <c r="E79" s="181"/>
      <c r="F79" s="181"/>
      <c r="G79" s="181"/>
      <c r="H79" s="181"/>
      <c r="I79" s="182"/>
      <c r="J79" s="181"/>
    </row>
    <row r="80" spans="1:10" ht="15.75" customHeight="1">
      <c r="A80" s="180"/>
      <c r="B80" s="181"/>
      <c r="C80" s="181"/>
      <c r="D80" s="181"/>
      <c r="E80" s="181"/>
      <c r="F80" s="181"/>
      <c r="G80" s="181"/>
      <c r="H80" s="181"/>
      <c r="I80" s="182"/>
      <c r="J80" s="181"/>
    </row>
    <row r="81" spans="1:10" ht="15.75" customHeight="1">
      <c r="A81" s="180"/>
      <c r="B81" s="181"/>
      <c r="C81" s="181"/>
      <c r="D81" s="181"/>
      <c r="E81" s="181"/>
      <c r="F81" s="181"/>
      <c r="G81" s="181"/>
      <c r="H81" s="181"/>
      <c r="I81" s="182"/>
      <c r="J81" s="181"/>
    </row>
    <row r="82" spans="1:10" ht="15.75" customHeight="1">
      <c r="A82" s="180"/>
      <c r="B82" s="181"/>
      <c r="C82" s="181"/>
      <c r="D82" s="181"/>
      <c r="E82" s="181"/>
      <c r="F82" s="181"/>
      <c r="G82" s="181"/>
      <c r="H82" s="181"/>
      <c r="I82" s="182"/>
      <c r="J82" s="181"/>
    </row>
    <row r="83" spans="1:10" ht="15.75" customHeight="1">
      <c r="A83" s="180"/>
      <c r="B83" s="181"/>
      <c r="C83" s="181"/>
      <c r="D83" s="181"/>
      <c r="E83" s="181"/>
      <c r="F83" s="181"/>
      <c r="G83" s="181"/>
      <c r="H83" s="181"/>
      <c r="I83" s="182"/>
      <c r="J83" s="181"/>
    </row>
    <row r="84" spans="1:10" ht="15.75" customHeight="1">
      <c r="A84" s="180"/>
      <c r="B84" s="181"/>
      <c r="C84" s="181"/>
      <c r="D84" s="181"/>
      <c r="E84" s="181"/>
      <c r="F84" s="181"/>
      <c r="G84" s="181"/>
      <c r="H84" s="181"/>
      <c r="I84" s="182"/>
      <c r="J84" s="181"/>
    </row>
    <row r="85" spans="1:10" ht="15.75" customHeight="1">
      <c r="A85" s="180"/>
      <c r="B85" s="181"/>
      <c r="C85" s="181"/>
      <c r="D85" s="181"/>
      <c r="E85" s="181"/>
      <c r="F85" s="181"/>
      <c r="G85" s="181"/>
      <c r="H85" s="181"/>
      <c r="I85" s="182"/>
      <c r="J85" s="181"/>
    </row>
    <row r="86" spans="1:10" ht="15.75" customHeight="1">
      <c r="A86" s="180"/>
      <c r="B86" s="181"/>
      <c r="C86" s="181"/>
      <c r="D86" s="181"/>
      <c r="E86" s="181"/>
      <c r="F86" s="181"/>
      <c r="G86" s="181"/>
      <c r="H86" s="181"/>
      <c r="I86" s="182"/>
      <c r="J86" s="181"/>
    </row>
    <row r="87" spans="1:10" ht="15.75" customHeight="1">
      <c r="A87" s="180"/>
      <c r="B87" s="181"/>
      <c r="C87" s="181"/>
      <c r="D87" s="181"/>
      <c r="E87" s="181"/>
      <c r="F87" s="181"/>
      <c r="G87" s="181"/>
      <c r="H87" s="181"/>
      <c r="I87" s="182"/>
      <c r="J87" s="181"/>
    </row>
    <row r="88" spans="1:10" ht="15.75" customHeight="1">
      <c r="A88" s="180"/>
      <c r="B88" s="181"/>
      <c r="C88" s="181"/>
      <c r="D88" s="181"/>
      <c r="E88" s="181"/>
      <c r="F88" s="181"/>
      <c r="G88" s="181"/>
      <c r="H88" s="181"/>
      <c r="I88" s="182"/>
      <c r="J88" s="181"/>
    </row>
    <row r="89" spans="1:10" ht="15.75" customHeight="1">
      <c r="A89" s="180"/>
      <c r="B89" s="181"/>
      <c r="C89" s="181"/>
      <c r="D89" s="181"/>
      <c r="E89" s="181"/>
      <c r="F89" s="181"/>
      <c r="G89" s="181"/>
      <c r="H89" s="181"/>
      <c r="I89" s="182"/>
      <c r="J89" s="181"/>
    </row>
    <row r="90" spans="1:10" ht="15.75" customHeight="1">
      <c r="A90" s="180"/>
      <c r="B90" s="181"/>
      <c r="C90" s="181"/>
      <c r="D90" s="181"/>
      <c r="E90" s="181"/>
      <c r="F90" s="181"/>
      <c r="G90" s="181"/>
      <c r="H90" s="181"/>
      <c r="I90" s="182"/>
      <c r="J90" s="181"/>
    </row>
    <row r="91" spans="1:10" ht="15.75" customHeight="1">
      <c r="A91" s="180"/>
      <c r="B91" s="181"/>
      <c r="C91" s="181"/>
      <c r="D91" s="181"/>
      <c r="E91" s="181"/>
      <c r="F91" s="181"/>
      <c r="G91" s="181"/>
      <c r="H91" s="181"/>
      <c r="I91" s="182"/>
      <c r="J91" s="181"/>
    </row>
    <row r="92" spans="1:10" ht="15.75" customHeight="1">
      <c r="A92" s="180"/>
      <c r="B92" s="181"/>
      <c r="C92" s="181"/>
      <c r="D92" s="181"/>
      <c r="E92" s="181"/>
      <c r="F92" s="181"/>
      <c r="G92" s="181"/>
      <c r="H92" s="181"/>
      <c r="I92" s="182"/>
      <c r="J92" s="181"/>
    </row>
    <row r="93" spans="1:10" ht="15.75" customHeight="1">
      <c r="A93" s="180"/>
      <c r="B93" s="181"/>
      <c r="C93" s="181"/>
      <c r="D93" s="181"/>
      <c r="E93" s="181"/>
      <c r="F93" s="181"/>
      <c r="G93" s="181"/>
      <c r="H93" s="181"/>
      <c r="I93" s="182"/>
      <c r="J93" s="181"/>
    </row>
    <row r="94" spans="1:10" ht="15.75" customHeight="1">
      <c r="A94" s="180"/>
      <c r="B94" s="181"/>
      <c r="C94" s="181"/>
      <c r="D94" s="181"/>
      <c r="E94" s="181"/>
      <c r="F94" s="181"/>
      <c r="G94" s="181"/>
      <c r="H94" s="181"/>
      <c r="I94" s="182"/>
      <c r="J94" s="181"/>
    </row>
    <row r="95" spans="1:10" ht="15.75" customHeight="1">
      <c r="A95" s="180"/>
      <c r="B95" s="181"/>
      <c r="C95" s="181"/>
      <c r="D95" s="181"/>
      <c r="E95" s="181"/>
      <c r="F95" s="181"/>
      <c r="G95" s="181"/>
      <c r="H95" s="181"/>
      <c r="I95" s="182"/>
      <c r="J95" s="181"/>
    </row>
    <row r="96" spans="1:10" ht="15.75" customHeight="1">
      <c r="A96" s="180"/>
      <c r="B96" s="181"/>
      <c r="C96" s="181"/>
      <c r="D96" s="181"/>
      <c r="E96" s="181"/>
      <c r="F96" s="181"/>
      <c r="G96" s="181"/>
      <c r="H96" s="181"/>
      <c r="I96" s="182"/>
      <c r="J96" s="181"/>
    </row>
    <row r="97" spans="1:10" ht="15.75" customHeight="1">
      <c r="A97" s="180"/>
      <c r="B97" s="181"/>
      <c r="C97" s="181"/>
      <c r="D97" s="181"/>
      <c r="E97" s="181"/>
      <c r="F97" s="181"/>
      <c r="G97" s="181"/>
      <c r="H97" s="181"/>
      <c r="I97" s="182"/>
      <c r="J97" s="181"/>
    </row>
    <row r="98" spans="1:10" ht="15.75" customHeight="1">
      <c r="A98" s="180"/>
      <c r="B98" s="181"/>
      <c r="C98" s="181"/>
      <c r="D98" s="181"/>
      <c r="E98" s="181"/>
      <c r="F98" s="181"/>
      <c r="G98" s="181"/>
      <c r="H98" s="181"/>
      <c r="I98" s="182"/>
      <c r="J98" s="181"/>
    </row>
    <row r="99" spans="1:10" ht="15.75" customHeight="1">
      <c r="A99" s="180"/>
      <c r="B99" s="181"/>
      <c r="C99" s="181"/>
      <c r="D99" s="181"/>
      <c r="E99" s="181"/>
      <c r="F99" s="181"/>
      <c r="G99" s="181"/>
      <c r="H99" s="181"/>
      <c r="I99" s="182"/>
      <c r="J99" s="181"/>
    </row>
    <row r="100" spans="1:10" ht="15.75" customHeight="1">
      <c r="A100" s="180"/>
      <c r="B100" s="181"/>
      <c r="C100" s="181"/>
      <c r="D100" s="181"/>
      <c r="E100" s="181"/>
      <c r="F100" s="181"/>
      <c r="G100" s="181"/>
      <c r="H100" s="181"/>
      <c r="I100" s="182"/>
      <c r="J100" s="181"/>
    </row>
    <row r="101" spans="1:10" ht="15.75" customHeight="1">
      <c r="A101" s="180"/>
      <c r="B101" s="181"/>
      <c r="C101" s="181"/>
      <c r="D101" s="181"/>
      <c r="E101" s="181"/>
      <c r="F101" s="181"/>
      <c r="G101" s="181"/>
      <c r="H101" s="181"/>
      <c r="I101" s="182"/>
      <c r="J101" s="181"/>
    </row>
    <row r="102" spans="1:10" ht="15.75" customHeight="1">
      <c r="A102" s="180"/>
      <c r="B102" s="181"/>
      <c r="C102" s="181"/>
      <c r="D102" s="181"/>
      <c r="E102" s="181"/>
      <c r="F102" s="181"/>
      <c r="G102" s="181"/>
      <c r="H102" s="181"/>
      <c r="I102" s="182"/>
      <c r="J102" s="181"/>
    </row>
    <row r="103" spans="1:10" ht="15.75" customHeight="1">
      <c r="A103" s="180"/>
      <c r="B103" s="181"/>
      <c r="C103" s="181"/>
      <c r="D103" s="181"/>
      <c r="E103" s="181"/>
      <c r="F103" s="181"/>
      <c r="G103" s="181"/>
      <c r="H103" s="181"/>
      <c r="I103" s="182"/>
      <c r="J103" s="181"/>
    </row>
    <row r="104" spans="1:10" ht="15.75" customHeight="1">
      <c r="A104" s="180"/>
      <c r="B104" s="181"/>
      <c r="C104" s="181"/>
      <c r="D104" s="181"/>
      <c r="E104" s="181"/>
      <c r="F104" s="181"/>
      <c r="G104" s="181"/>
      <c r="H104" s="181"/>
      <c r="I104" s="182"/>
      <c r="J104" s="181"/>
    </row>
    <row r="105" spans="1:10" ht="15.75" customHeight="1">
      <c r="A105" s="180"/>
      <c r="B105" s="181"/>
      <c r="C105" s="181"/>
      <c r="D105" s="181"/>
      <c r="E105" s="181"/>
      <c r="F105" s="181"/>
      <c r="G105" s="181"/>
      <c r="H105" s="181"/>
      <c r="I105" s="182"/>
      <c r="J105" s="181"/>
    </row>
    <row r="106" spans="1:10" ht="15.75" customHeight="1">
      <c r="A106" s="180"/>
      <c r="B106" s="181"/>
      <c r="C106" s="181"/>
      <c r="D106" s="181"/>
      <c r="E106" s="181"/>
      <c r="F106" s="181"/>
      <c r="G106" s="181"/>
      <c r="H106" s="181"/>
      <c r="I106" s="182"/>
      <c r="J106" s="181"/>
    </row>
    <row r="107" spans="1:10" ht="15.75" customHeight="1">
      <c r="A107" s="180"/>
      <c r="B107" s="181"/>
      <c r="C107" s="181"/>
      <c r="D107" s="181"/>
      <c r="E107" s="181"/>
      <c r="F107" s="181"/>
      <c r="G107" s="181"/>
      <c r="H107" s="181"/>
      <c r="I107" s="182"/>
      <c r="J107" s="181"/>
    </row>
    <row r="108" spans="1:10" ht="15.75" customHeight="1">
      <c r="A108" s="180"/>
      <c r="B108" s="181"/>
      <c r="C108" s="181"/>
      <c r="D108" s="181"/>
      <c r="E108" s="181"/>
      <c r="F108" s="181"/>
      <c r="G108" s="181"/>
      <c r="H108" s="181"/>
      <c r="I108" s="182"/>
      <c r="J108" s="181"/>
    </row>
    <row r="109" spans="1:10" ht="15.75" customHeight="1">
      <c r="A109" s="180"/>
      <c r="B109" s="181"/>
      <c r="C109" s="181"/>
      <c r="D109" s="181"/>
      <c r="E109" s="181"/>
      <c r="F109" s="181"/>
      <c r="G109" s="181"/>
      <c r="H109" s="181"/>
      <c r="I109" s="182"/>
      <c r="J109" s="181"/>
    </row>
    <row r="110" spans="1:10" ht="15.75" customHeight="1">
      <c r="A110" s="180"/>
      <c r="B110" s="181"/>
      <c r="C110" s="181"/>
      <c r="D110" s="181"/>
      <c r="E110" s="181"/>
      <c r="F110" s="181"/>
      <c r="G110" s="181"/>
      <c r="H110" s="181"/>
      <c r="I110" s="182"/>
      <c r="J110" s="181"/>
    </row>
    <row r="111" spans="1:10" ht="15.75" customHeight="1">
      <c r="A111" s="180"/>
      <c r="B111" s="181"/>
      <c r="C111" s="181"/>
      <c r="D111" s="181"/>
      <c r="E111" s="181"/>
      <c r="F111" s="181"/>
      <c r="G111" s="181"/>
      <c r="H111" s="181"/>
      <c r="I111" s="182"/>
      <c r="J111" s="181"/>
    </row>
    <row r="112" spans="1:10" ht="15.75" customHeight="1">
      <c r="A112" s="180"/>
      <c r="B112" s="181"/>
      <c r="C112" s="181"/>
      <c r="D112" s="181"/>
      <c r="E112" s="181"/>
      <c r="F112" s="181"/>
      <c r="G112" s="181"/>
      <c r="H112" s="181"/>
      <c r="I112" s="182"/>
      <c r="J112" s="181"/>
    </row>
    <row r="113" spans="1:10" ht="15.75" customHeight="1">
      <c r="A113" s="180"/>
      <c r="B113" s="181"/>
      <c r="C113" s="181"/>
      <c r="D113" s="181"/>
      <c r="E113" s="181"/>
      <c r="F113" s="181"/>
      <c r="G113" s="181"/>
      <c r="H113" s="181"/>
      <c r="I113" s="182"/>
      <c r="J113" s="181"/>
    </row>
    <row r="114" spans="1:10" ht="15.75" customHeight="1">
      <c r="A114" s="180"/>
      <c r="B114" s="181"/>
      <c r="C114" s="181"/>
      <c r="D114" s="181"/>
      <c r="E114" s="181"/>
      <c r="F114" s="181"/>
      <c r="G114" s="181"/>
      <c r="H114" s="181"/>
      <c r="I114" s="182"/>
      <c r="J114" s="181"/>
    </row>
    <row r="115" spans="1:10" ht="15.75" customHeight="1">
      <c r="A115" s="180"/>
      <c r="B115" s="181"/>
      <c r="C115" s="181"/>
      <c r="D115" s="181"/>
      <c r="E115" s="181"/>
      <c r="F115" s="181"/>
      <c r="G115" s="181"/>
      <c r="H115" s="181"/>
      <c r="I115" s="182"/>
      <c r="J115" s="181"/>
    </row>
    <row r="116" spans="1:10" ht="15.75" customHeight="1">
      <c r="A116" s="180"/>
      <c r="B116" s="181"/>
      <c r="C116" s="181"/>
      <c r="D116" s="181"/>
      <c r="E116" s="181"/>
      <c r="F116" s="181"/>
      <c r="G116" s="181"/>
      <c r="H116" s="181"/>
      <c r="I116" s="182"/>
      <c r="J116" s="181"/>
    </row>
    <row r="117" spans="1:10" ht="15.75" customHeight="1">
      <c r="A117" s="180"/>
      <c r="B117" s="181"/>
      <c r="C117" s="181"/>
      <c r="D117" s="181"/>
      <c r="E117" s="181"/>
      <c r="F117" s="181"/>
      <c r="G117" s="181"/>
      <c r="H117" s="181"/>
      <c r="I117" s="182"/>
      <c r="J117" s="181"/>
    </row>
    <row r="118" spans="1:10" ht="15.75" customHeight="1">
      <c r="A118" s="180"/>
      <c r="B118" s="181"/>
      <c r="C118" s="181"/>
      <c r="D118" s="181"/>
      <c r="E118" s="181"/>
      <c r="F118" s="181"/>
      <c r="G118" s="181"/>
      <c r="H118" s="181"/>
      <c r="I118" s="182"/>
      <c r="J118" s="181"/>
    </row>
    <row r="119" spans="1:10" ht="15.75" customHeight="1">
      <c r="A119" s="180"/>
      <c r="B119" s="181"/>
      <c r="C119" s="181"/>
      <c r="D119" s="181"/>
      <c r="E119" s="181"/>
      <c r="F119" s="181"/>
      <c r="G119" s="181"/>
      <c r="H119" s="181"/>
      <c r="I119" s="182"/>
      <c r="J119" s="181"/>
    </row>
    <row r="120" spans="1:10" ht="15.75" customHeight="1">
      <c r="A120" s="180"/>
      <c r="B120" s="181"/>
      <c r="C120" s="181"/>
      <c r="D120" s="181"/>
      <c r="E120" s="181"/>
      <c r="F120" s="181"/>
      <c r="G120" s="181"/>
      <c r="H120" s="181"/>
      <c r="I120" s="182"/>
      <c r="J120" s="181"/>
    </row>
    <row r="121" spans="1:10" ht="15.75" customHeight="1">
      <c r="A121" s="180"/>
      <c r="B121" s="181"/>
      <c r="C121" s="181"/>
      <c r="D121" s="181"/>
      <c r="E121" s="181"/>
      <c r="F121" s="181"/>
      <c r="G121" s="181"/>
      <c r="H121" s="181"/>
      <c r="I121" s="182"/>
      <c r="J121" s="181"/>
    </row>
    <row r="122" spans="1:10" ht="15.75" customHeight="1">
      <c r="A122" s="180"/>
      <c r="B122" s="181"/>
      <c r="C122" s="181"/>
      <c r="D122" s="181"/>
      <c r="E122" s="181"/>
      <c r="F122" s="181"/>
      <c r="G122" s="181"/>
      <c r="H122" s="181"/>
      <c r="I122" s="182"/>
      <c r="J122" s="181"/>
    </row>
    <row r="123" spans="1:10" ht="15.75" customHeight="1">
      <c r="A123" s="180"/>
      <c r="B123" s="181"/>
      <c r="C123" s="181"/>
      <c r="D123" s="181"/>
      <c r="E123" s="181"/>
      <c r="F123" s="181"/>
      <c r="G123" s="181"/>
      <c r="H123" s="181"/>
      <c r="I123" s="182"/>
      <c r="J123" s="181"/>
    </row>
    <row r="124" spans="1:10" ht="15.75" customHeight="1">
      <c r="A124" s="180"/>
      <c r="B124" s="181"/>
      <c r="C124" s="181"/>
      <c r="D124" s="181"/>
      <c r="E124" s="181"/>
      <c r="F124" s="181"/>
      <c r="G124" s="181"/>
      <c r="H124" s="181"/>
      <c r="I124" s="182"/>
      <c r="J124" s="181"/>
    </row>
    <row r="125" spans="1:10" ht="15.75" customHeight="1">
      <c r="A125" s="180"/>
      <c r="B125" s="181"/>
      <c r="C125" s="181"/>
      <c r="D125" s="181"/>
      <c r="E125" s="181"/>
      <c r="F125" s="181"/>
      <c r="G125" s="181"/>
      <c r="H125" s="181"/>
      <c r="I125" s="182"/>
      <c r="J125" s="181"/>
    </row>
    <row r="126" spans="1:10" ht="15.75" customHeight="1">
      <c r="A126" s="180"/>
      <c r="B126" s="181"/>
      <c r="C126" s="181"/>
      <c r="D126" s="181"/>
      <c r="E126" s="181"/>
      <c r="F126" s="181"/>
      <c r="G126" s="181"/>
      <c r="H126" s="181"/>
      <c r="I126" s="182"/>
      <c r="J126" s="181"/>
    </row>
    <row r="127" spans="1:10" ht="15.75" customHeight="1">
      <c r="A127" s="180"/>
      <c r="B127" s="181"/>
      <c r="C127" s="181"/>
      <c r="D127" s="181"/>
      <c r="E127" s="181"/>
      <c r="F127" s="181"/>
      <c r="G127" s="181"/>
      <c r="H127" s="181"/>
      <c r="I127" s="182"/>
      <c r="J127" s="181"/>
    </row>
    <row r="128" spans="1:10" ht="15.75" customHeight="1">
      <c r="A128" s="180"/>
      <c r="B128" s="181"/>
      <c r="C128" s="181"/>
      <c r="D128" s="181"/>
      <c r="E128" s="181"/>
      <c r="F128" s="181"/>
      <c r="G128" s="181"/>
      <c r="H128" s="181"/>
      <c r="I128" s="182"/>
      <c r="J128" s="181"/>
    </row>
    <row r="129" spans="1:10" ht="15.75" customHeight="1">
      <c r="A129" s="180"/>
      <c r="B129" s="181"/>
      <c r="C129" s="181"/>
      <c r="D129" s="181"/>
      <c r="E129" s="181"/>
      <c r="F129" s="181"/>
      <c r="G129" s="181"/>
      <c r="H129" s="181"/>
      <c r="I129" s="182"/>
      <c r="J129" s="181"/>
    </row>
    <row r="130" spans="1:10" ht="15.75" customHeight="1">
      <c r="A130" s="180"/>
      <c r="B130" s="181"/>
      <c r="C130" s="181"/>
      <c r="D130" s="181"/>
      <c r="E130" s="181"/>
      <c r="F130" s="181"/>
      <c r="G130" s="181"/>
      <c r="H130" s="181"/>
      <c r="I130" s="182"/>
      <c r="J130" s="181"/>
    </row>
    <row r="131" spans="1:10" ht="15.75" customHeight="1">
      <c r="A131" s="180"/>
      <c r="B131" s="181"/>
      <c r="C131" s="181"/>
      <c r="D131" s="181"/>
      <c r="E131" s="181"/>
      <c r="F131" s="181"/>
      <c r="G131" s="181"/>
      <c r="H131" s="181"/>
      <c r="I131" s="182"/>
      <c r="J131" s="181"/>
    </row>
    <row r="132" spans="1:10" ht="15.75" customHeight="1">
      <c r="A132" s="180"/>
      <c r="B132" s="181"/>
      <c r="C132" s="181"/>
      <c r="D132" s="181"/>
      <c r="E132" s="181"/>
      <c r="F132" s="181"/>
      <c r="G132" s="181"/>
      <c r="H132" s="181"/>
      <c r="I132" s="182"/>
      <c r="J132" s="181"/>
    </row>
    <row r="133" spans="1:10" ht="15.75" customHeight="1">
      <c r="A133" s="180"/>
      <c r="B133" s="181"/>
      <c r="C133" s="181"/>
      <c r="D133" s="181"/>
      <c r="E133" s="181"/>
      <c r="F133" s="181"/>
      <c r="G133" s="181"/>
      <c r="H133" s="181"/>
      <c r="I133" s="182"/>
      <c r="J133" s="181"/>
    </row>
    <row r="134" spans="1:10" ht="15.75" customHeight="1">
      <c r="A134" s="180"/>
      <c r="B134" s="181"/>
      <c r="C134" s="181"/>
      <c r="D134" s="181"/>
      <c r="E134" s="181"/>
      <c r="F134" s="181"/>
      <c r="G134" s="181"/>
      <c r="H134" s="181"/>
      <c r="I134" s="182"/>
      <c r="J134" s="181"/>
    </row>
    <row r="135" spans="1:10" ht="15.75" customHeight="1">
      <c r="A135" s="180"/>
      <c r="B135" s="181"/>
      <c r="C135" s="181"/>
      <c r="D135" s="181"/>
      <c r="E135" s="181"/>
      <c r="F135" s="181"/>
      <c r="G135" s="181"/>
      <c r="H135" s="181"/>
      <c r="I135" s="182"/>
      <c r="J135" s="181"/>
    </row>
    <row r="136" spans="1:10" ht="15.75" customHeight="1">
      <c r="A136" s="180"/>
      <c r="B136" s="181"/>
      <c r="C136" s="181"/>
      <c r="D136" s="181"/>
      <c r="E136" s="181"/>
      <c r="F136" s="181"/>
      <c r="G136" s="181"/>
      <c r="H136" s="181"/>
      <c r="I136" s="182"/>
      <c r="J136" s="181"/>
    </row>
    <row r="137" spans="1:10" ht="15.75" customHeight="1">
      <c r="A137" s="180"/>
      <c r="B137" s="181"/>
      <c r="C137" s="181"/>
      <c r="D137" s="181"/>
      <c r="E137" s="181"/>
      <c r="F137" s="181"/>
      <c r="G137" s="181"/>
      <c r="H137" s="181"/>
      <c r="I137" s="182"/>
      <c r="J137" s="181"/>
    </row>
    <row r="138" spans="1:10" ht="15.75" customHeight="1">
      <c r="A138" s="180"/>
      <c r="B138" s="181"/>
      <c r="C138" s="181"/>
      <c r="D138" s="181"/>
      <c r="E138" s="181"/>
      <c r="F138" s="181"/>
      <c r="G138" s="181"/>
      <c r="H138" s="181"/>
      <c r="I138" s="182"/>
      <c r="J138" s="181"/>
    </row>
    <row r="139" spans="1:10" ht="15.75" customHeight="1">
      <c r="A139" s="180"/>
      <c r="B139" s="181"/>
      <c r="C139" s="181"/>
      <c r="D139" s="181"/>
      <c r="E139" s="181"/>
      <c r="F139" s="181"/>
      <c r="G139" s="181"/>
      <c r="H139" s="181"/>
      <c r="I139" s="182"/>
      <c r="J139" s="181"/>
    </row>
    <row r="140" spans="1:10" ht="15.75" customHeight="1">
      <c r="A140" s="180"/>
      <c r="B140" s="181"/>
      <c r="C140" s="181"/>
      <c r="D140" s="181"/>
      <c r="E140" s="181"/>
      <c r="F140" s="181"/>
      <c r="G140" s="181"/>
      <c r="H140" s="181"/>
      <c r="I140" s="182"/>
      <c r="J140" s="181"/>
    </row>
    <row r="141" spans="1:10" ht="15.75" customHeight="1">
      <c r="A141" s="180"/>
      <c r="B141" s="181"/>
      <c r="C141" s="181"/>
      <c r="D141" s="181"/>
      <c r="E141" s="181"/>
      <c r="F141" s="181"/>
      <c r="G141" s="181"/>
      <c r="H141" s="181"/>
      <c r="I141" s="182"/>
      <c r="J141" s="181"/>
    </row>
    <row r="142" spans="1:10" ht="15.75" customHeight="1">
      <c r="A142" s="180"/>
      <c r="B142" s="181"/>
      <c r="C142" s="181"/>
      <c r="D142" s="181"/>
      <c r="E142" s="181"/>
      <c r="F142" s="181"/>
      <c r="G142" s="181"/>
      <c r="H142" s="181"/>
      <c r="I142" s="182"/>
      <c r="J142" s="181"/>
    </row>
    <row r="143" spans="1:10" ht="15.75" customHeight="1">
      <c r="A143" s="180"/>
      <c r="B143" s="181"/>
      <c r="C143" s="181"/>
      <c r="D143" s="181"/>
      <c r="E143" s="181"/>
      <c r="F143" s="181"/>
      <c r="G143" s="181"/>
      <c r="H143" s="181"/>
      <c r="I143" s="182"/>
      <c r="J143" s="181"/>
    </row>
    <row r="144" spans="1:10" ht="15.75" customHeight="1">
      <c r="A144" s="180"/>
      <c r="B144" s="181"/>
      <c r="C144" s="181"/>
      <c r="D144" s="181"/>
      <c r="E144" s="181"/>
      <c r="F144" s="181"/>
      <c r="G144" s="181"/>
      <c r="H144" s="181"/>
      <c r="I144" s="182"/>
      <c r="J144" s="181"/>
    </row>
    <row r="145" spans="1:10" ht="15.75" customHeight="1">
      <c r="A145" s="180"/>
      <c r="B145" s="181"/>
      <c r="C145" s="181"/>
      <c r="D145" s="181"/>
      <c r="E145" s="181"/>
      <c r="F145" s="181"/>
      <c r="G145" s="181"/>
      <c r="H145" s="181"/>
      <c r="I145" s="182"/>
      <c r="J145" s="181"/>
    </row>
    <row r="146" spans="1:10" ht="15.75" customHeight="1">
      <c r="A146" s="180"/>
      <c r="B146" s="181"/>
      <c r="C146" s="181"/>
      <c r="D146" s="181"/>
      <c r="E146" s="181"/>
      <c r="F146" s="181"/>
      <c r="G146" s="181"/>
      <c r="H146" s="181"/>
      <c r="I146" s="182"/>
      <c r="J146" s="181"/>
    </row>
    <row r="147" spans="1:10" ht="15.75" customHeight="1">
      <c r="A147" s="180"/>
      <c r="B147" s="181"/>
      <c r="C147" s="181"/>
      <c r="D147" s="181"/>
      <c r="E147" s="181"/>
      <c r="F147" s="181"/>
      <c r="G147" s="181"/>
      <c r="H147" s="181"/>
      <c r="I147" s="182"/>
      <c r="J147" s="181"/>
    </row>
    <row r="148" spans="1:10" ht="15.75" customHeight="1">
      <c r="A148" s="180"/>
      <c r="B148" s="181"/>
      <c r="C148" s="181"/>
      <c r="D148" s="181"/>
      <c r="E148" s="181"/>
      <c r="F148" s="181"/>
      <c r="G148" s="181"/>
      <c r="H148" s="181"/>
      <c r="I148" s="182"/>
      <c r="J148" s="181"/>
    </row>
    <row r="149" spans="1:10" ht="15.75" customHeight="1">
      <c r="A149" s="180"/>
      <c r="B149" s="181"/>
      <c r="C149" s="181"/>
      <c r="D149" s="181"/>
      <c r="E149" s="181"/>
      <c r="F149" s="181"/>
      <c r="G149" s="181"/>
      <c r="H149" s="181"/>
      <c r="I149" s="182"/>
      <c r="J149" s="181"/>
    </row>
    <row r="150" spans="1:10" ht="15.75" customHeight="1">
      <c r="A150" s="180"/>
      <c r="B150" s="181"/>
      <c r="C150" s="181"/>
      <c r="D150" s="181"/>
      <c r="E150" s="181"/>
      <c r="F150" s="181"/>
      <c r="G150" s="181"/>
      <c r="H150" s="181"/>
      <c r="I150" s="182"/>
      <c r="J150" s="181"/>
    </row>
    <row r="151" spans="1:10" ht="15.75" customHeight="1">
      <c r="A151" s="180"/>
      <c r="B151" s="181"/>
      <c r="C151" s="181"/>
      <c r="D151" s="181"/>
      <c r="E151" s="181"/>
      <c r="F151" s="181"/>
      <c r="G151" s="181"/>
      <c r="H151" s="181"/>
      <c r="I151" s="182"/>
      <c r="J151" s="181"/>
    </row>
    <row r="152" spans="1:10" ht="15.75" customHeight="1">
      <c r="A152" s="180"/>
      <c r="B152" s="181"/>
      <c r="C152" s="181"/>
      <c r="D152" s="181"/>
      <c r="E152" s="181"/>
      <c r="F152" s="181"/>
      <c r="G152" s="181"/>
      <c r="H152" s="181"/>
      <c r="I152" s="182"/>
      <c r="J152" s="181"/>
    </row>
    <row r="153" spans="1:10" ht="15.75" customHeight="1">
      <c r="A153" s="180"/>
      <c r="B153" s="181"/>
      <c r="C153" s="181"/>
      <c r="D153" s="181"/>
      <c r="E153" s="181"/>
      <c r="F153" s="181"/>
      <c r="G153" s="181"/>
      <c r="H153" s="181"/>
      <c r="I153" s="182"/>
      <c r="J153" s="181"/>
    </row>
    <row r="154" spans="1:10" ht="15.75" customHeight="1">
      <c r="A154" s="180"/>
      <c r="B154" s="181"/>
      <c r="C154" s="181"/>
      <c r="D154" s="181"/>
      <c r="E154" s="181"/>
      <c r="F154" s="181"/>
      <c r="G154" s="181"/>
      <c r="H154" s="181"/>
      <c r="I154" s="182"/>
      <c r="J154" s="181"/>
    </row>
    <row r="155" spans="1:10" ht="15.75" customHeight="1">
      <c r="A155" s="180"/>
      <c r="B155" s="181"/>
      <c r="C155" s="181"/>
      <c r="D155" s="181"/>
      <c r="E155" s="181"/>
      <c r="F155" s="181"/>
      <c r="G155" s="181"/>
      <c r="H155" s="181"/>
      <c r="I155" s="182"/>
      <c r="J155" s="181"/>
    </row>
    <row r="156" spans="1:10" ht="15.75" customHeight="1">
      <c r="A156" s="180"/>
      <c r="B156" s="181"/>
      <c r="C156" s="181"/>
      <c r="D156" s="181"/>
      <c r="E156" s="181"/>
      <c r="F156" s="181"/>
      <c r="G156" s="181"/>
      <c r="H156" s="181"/>
      <c r="I156" s="182"/>
      <c r="J156" s="181"/>
    </row>
    <row r="157" spans="1:10" ht="15.75" customHeight="1">
      <c r="A157" s="180"/>
      <c r="B157" s="181"/>
      <c r="C157" s="181"/>
      <c r="D157" s="181"/>
      <c r="E157" s="181"/>
      <c r="F157" s="181"/>
      <c r="G157" s="181"/>
      <c r="H157" s="181"/>
      <c r="I157" s="182"/>
      <c r="J157" s="181"/>
    </row>
    <row r="158" spans="1:10" ht="15.75" customHeight="1">
      <c r="A158" s="180"/>
      <c r="B158" s="181"/>
      <c r="C158" s="181"/>
      <c r="D158" s="181"/>
      <c r="E158" s="181"/>
      <c r="F158" s="181"/>
      <c r="G158" s="181"/>
      <c r="H158" s="181"/>
      <c r="I158" s="182"/>
      <c r="J158" s="181"/>
    </row>
    <row r="159" spans="1:10" ht="15.75" customHeight="1">
      <c r="A159" s="180"/>
      <c r="B159" s="181"/>
      <c r="C159" s="181"/>
      <c r="D159" s="181"/>
      <c r="E159" s="181"/>
      <c r="F159" s="181"/>
      <c r="G159" s="181"/>
      <c r="H159" s="181"/>
      <c r="I159" s="182"/>
      <c r="J159" s="181"/>
    </row>
    <row r="160" spans="1:10" ht="15.75" customHeight="1">
      <c r="A160" s="180"/>
      <c r="B160" s="181"/>
      <c r="C160" s="181"/>
      <c r="D160" s="181"/>
      <c r="E160" s="181"/>
      <c r="F160" s="181"/>
      <c r="G160" s="181"/>
      <c r="H160" s="181"/>
      <c r="I160" s="182"/>
      <c r="J160" s="181"/>
    </row>
    <row r="161" spans="1:10" ht="15.75" customHeight="1">
      <c r="A161" s="180"/>
      <c r="B161" s="181"/>
      <c r="C161" s="181"/>
      <c r="D161" s="181"/>
      <c r="E161" s="181"/>
      <c r="F161" s="181"/>
      <c r="G161" s="181"/>
      <c r="H161" s="181"/>
      <c r="I161" s="182"/>
      <c r="J161" s="181"/>
    </row>
    <row r="162" spans="1:10" ht="15.75" customHeight="1">
      <c r="A162" s="180"/>
      <c r="B162" s="181"/>
      <c r="C162" s="181"/>
      <c r="D162" s="181"/>
      <c r="E162" s="181"/>
      <c r="F162" s="181"/>
      <c r="G162" s="181"/>
      <c r="H162" s="181"/>
      <c r="I162" s="182"/>
      <c r="J162" s="181"/>
    </row>
    <row r="163" spans="1:10" ht="15.75" customHeight="1">
      <c r="A163" s="180"/>
      <c r="B163" s="181"/>
      <c r="C163" s="181"/>
      <c r="D163" s="181"/>
      <c r="E163" s="181"/>
      <c r="F163" s="181"/>
      <c r="G163" s="181"/>
      <c r="H163" s="181"/>
      <c r="I163" s="182"/>
      <c r="J163" s="181"/>
    </row>
    <row r="164" spans="1:10" ht="15.75" customHeight="1">
      <c r="A164" s="180"/>
      <c r="B164" s="181"/>
      <c r="C164" s="181"/>
      <c r="D164" s="181"/>
      <c r="E164" s="181"/>
      <c r="F164" s="181"/>
      <c r="G164" s="181"/>
      <c r="H164" s="181"/>
      <c r="I164" s="182"/>
      <c r="J164" s="181"/>
    </row>
    <row r="165" spans="1:10" ht="15.75" customHeight="1">
      <c r="A165" s="180"/>
      <c r="B165" s="181"/>
      <c r="C165" s="181"/>
      <c r="D165" s="181"/>
      <c r="E165" s="181"/>
      <c r="F165" s="181"/>
      <c r="G165" s="181"/>
      <c r="H165" s="181"/>
      <c r="I165" s="182"/>
      <c r="J165" s="181"/>
    </row>
    <row r="166" spans="1:10" ht="15.75" customHeight="1">
      <c r="A166" s="180"/>
      <c r="B166" s="181"/>
      <c r="C166" s="181"/>
      <c r="D166" s="181"/>
      <c r="E166" s="181"/>
      <c r="F166" s="181"/>
      <c r="G166" s="181"/>
      <c r="H166" s="181"/>
      <c r="I166" s="182"/>
      <c r="J166" s="181"/>
    </row>
    <row r="167" spans="1:10" ht="15.75" customHeight="1">
      <c r="A167" s="180"/>
      <c r="B167" s="181"/>
      <c r="C167" s="181"/>
      <c r="D167" s="181"/>
      <c r="E167" s="181"/>
      <c r="F167" s="181"/>
      <c r="G167" s="181"/>
      <c r="H167" s="181"/>
      <c r="I167" s="182"/>
      <c r="J167" s="181"/>
    </row>
    <row r="168" spans="1:10" ht="15.75" customHeight="1">
      <c r="A168" s="180"/>
      <c r="B168" s="181"/>
      <c r="C168" s="181"/>
      <c r="D168" s="181"/>
      <c r="E168" s="181"/>
      <c r="F168" s="181"/>
      <c r="G168" s="181"/>
      <c r="H168" s="181"/>
      <c r="I168" s="182"/>
      <c r="J168" s="181"/>
    </row>
    <row r="169" spans="1:10" ht="15.75" customHeight="1">
      <c r="A169" s="180"/>
      <c r="B169" s="181"/>
      <c r="C169" s="181"/>
      <c r="D169" s="181"/>
      <c r="E169" s="181"/>
      <c r="F169" s="181"/>
      <c r="G169" s="181"/>
      <c r="H169" s="181"/>
      <c r="I169" s="182"/>
      <c r="J169" s="181"/>
    </row>
    <row r="170" spans="1:10" ht="15.75" customHeight="1">
      <c r="A170" s="180"/>
      <c r="B170" s="181"/>
      <c r="C170" s="181"/>
      <c r="D170" s="181"/>
      <c r="E170" s="181"/>
      <c r="F170" s="181"/>
      <c r="G170" s="181"/>
      <c r="H170" s="181"/>
      <c r="I170" s="182"/>
      <c r="J170" s="181"/>
    </row>
    <row r="171" spans="1:10" ht="15.75" customHeight="1">
      <c r="A171" s="180"/>
      <c r="B171" s="181"/>
      <c r="C171" s="181"/>
      <c r="D171" s="181"/>
      <c r="E171" s="181"/>
      <c r="F171" s="181"/>
      <c r="G171" s="181"/>
      <c r="H171" s="181"/>
      <c r="I171" s="182"/>
      <c r="J171" s="181"/>
    </row>
    <row r="172" spans="1:10" ht="15.75" customHeight="1">
      <c r="A172" s="180"/>
      <c r="B172" s="181"/>
      <c r="C172" s="181"/>
      <c r="D172" s="181"/>
      <c r="E172" s="181"/>
      <c r="F172" s="181"/>
      <c r="G172" s="181"/>
      <c r="H172" s="181"/>
      <c r="I172" s="182"/>
      <c r="J172" s="181"/>
    </row>
    <row r="173" spans="1:10" ht="15.75" customHeight="1">
      <c r="A173" s="180"/>
      <c r="B173" s="181"/>
      <c r="C173" s="181"/>
      <c r="D173" s="181"/>
      <c r="E173" s="181"/>
      <c r="F173" s="181"/>
      <c r="G173" s="181"/>
      <c r="H173" s="181"/>
      <c r="I173" s="182"/>
      <c r="J173" s="181"/>
    </row>
    <row r="174" spans="1:10" ht="15.75" customHeight="1">
      <c r="A174" s="180"/>
      <c r="B174" s="181"/>
      <c r="C174" s="181"/>
      <c r="D174" s="181"/>
      <c r="E174" s="181"/>
      <c r="F174" s="181"/>
      <c r="G174" s="181"/>
      <c r="H174" s="181"/>
      <c r="I174" s="182"/>
      <c r="J174" s="181"/>
    </row>
    <row r="175" spans="1:10" ht="15.75" customHeight="1">
      <c r="A175" s="180"/>
      <c r="B175" s="181"/>
      <c r="C175" s="181"/>
      <c r="D175" s="181"/>
      <c r="E175" s="181"/>
      <c r="F175" s="181"/>
      <c r="G175" s="181"/>
      <c r="H175" s="181"/>
      <c r="I175" s="182"/>
      <c r="J175" s="181"/>
    </row>
    <row r="176" spans="1:10" ht="15.75" customHeight="1">
      <c r="A176" s="180"/>
      <c r="B176" s="181"/>
      <c r="C176" s="181"/>
      <c r="D176" s="181"/>
      <c r="E176" s="181"/>
      <c r="F176" s="181"/>
      <c r="G176" s="181"/>
      <c r="H176" s="181"/>
      <c r="I176" s="182"/>
      <c r="J176" s="181"/>
    </row>
    <row r="177" spans="1:10" ht="15.75" customHeight="1">
      <c r="A177" s="180"/>
      <c r="B177" s="181"/>
      <c r="C177" s="181"/>
      <c r="D177" s="181"/>
      <c r="E177" s="181"/>
      <c r="F177" s="181"/>
      <c r="G177" s="181"/>
      <c r="H177" s="181"/>
      <c r="I177" s="182"/>
      <c r="J177" s="181"/>
    </row>
    <row r="178" spans="1:10" ht="15.75" customHeight="1">
      <c r="A178" s="180"/>
      <c r="B178" s="181"/>
      <c r="C178" s="181"/>
      <c r="D178" s="181"/>
      <c r="E178" s="181"/>
      <c r="F178" s="181"/>
      <c r="G178" s="181"/>
      <c r="H178" s="181"/>
      <c r="I178" s="182"/>
      <c r="J178" s="181"/>
    </row>
    <row r="179" spans="1:10" ht="15.75" customHeight="1">
      <c r="A179" s="180"/>
      <c r="B179" s="181"/>
      <c r="C179" s="181"/>
      <c r="D179" s="181"/>
      <c r="E179" s="181"/>
      <c r="F179" s="181"/>
      <c r="G179" s="181"/>
      <c r="H179" s="181"/>
      <c r="I179" s="182"/>
      <c r="J179" s="181"/>
    </row>
    <row r="180" spans="1:10" ht="15.75" customHeight="1">
      <c r="A180" s="180"/>
      <c r="B180" s="181"/>
      <c r="C180" s="181"/>
      <c r="D180" s="181"/>
      <c r="E180" s="181"/>
      <c r="F180" s="181"/>
      <c r="G180" s="181"/>
      <c r="H180" s="181"/>
      <c r="I180" s="182"/>
      <c r="J180" s="181"/>
    </row>
    <row r="181" spans="1:10" ht="15.75" customHeight="1">
      <c r="A181" s="180"/>
      <c r="B181" s="181"/>
      <c r="C181" s="181"/>
      <c r="D181" s="181"/>
      <c r="E181" s="181"/>
      <c r="F181" s="181"/>
      <c r="G181" s="181"/>
      <c r="H181" s="181"/>
      <c r="I181" s="182"/>
      <c r="J181" s="181"/>
    </row>
    <row r="182" spans="1:10" ht="15.75" customHeight="1">
      <c r="A182" s="180"/>
      <c r="B182" s="181"/>
      <c r="C182" s="181"/>
      <c r="D182" s="181"/>
      <c r="E182" s="181"/>
      <c r="F182" s="181"/>
      <c r="G182" s="181"/>
      <c r="H182" s="181"/>
      <c r="I182" s="182"/>
      <c r="J182" s="181"/>
    </row>
    <row r="183" spans="1:10" ht="15.75" customHeight="1">
      <c r="A183" s="180"/>
      <c r="B183" s="181"/>
      <c r="C183" s="181"/>
      <c r="D183" s="181"/>
      <c r="E183" s="181"/>
      <c r="F183" s="181"/>
      <c r="G183" s="181"/>
      <c r="H183" s="181"/>
      <c r="I183" s="182"/>
      <c r="J183" s="181"/>
    </row>
    <row r="184" spans="1:10" ht="15.75" customHeight="1">
      <c r="A184" s="180"/>
      <c r="B184" s="181"/>
      <c r="C184" s="181"/>
      <c r="D184" s="181"/>
      <c r="E184" s="181"/>
      <c r="F184" s="181"/>
      <c r="G184" s="181"/>
      <c r="H184" s="181"/>
      <c r="I184" s="182"/>
      <c r="J184" s="181"/>
    </row>
    <row r="185" spans="1:10" ht="15.75" customHeight="1">
      <c r="A185" s="180"/>
      <c r="B185" s="181"/>
      <c r="C185" s="181"/>
      <c r="D185" s="181"/>
      <c r="E185" s="181"/>
      <c r="F185" s="181"/>
      <c r="G185" s="181"/>
      <c r="H185" s="181"/>
      <c r="I185" s="182"/>
      <c r="J185" s="181"/>
    </row>
    <row r="186" spans="1:10" ht="15.75" customHeight="1">
      <c r="A186" s="180"/>
      <c r="B186" s="181"/>
      <c r="C186" s="181"/>
      <c r="D186" s="181"/>
      <c r="E186" s="181"/>
      <c r="F186" s="181"/>
      <c r="G186" s="181"/>
      <c r="H186" s="181"/>
      <c r="I186" s="182"/>
      <c r="J186" s="181"/>
    </row>
    <row r="187" spans="1:10" ht="15.75" customHeight="1">
      <c r="A187" s="180"/>
      <c r="B187" s="181"/>
      <c r="C187" s="181"/>
      <c r="D187" s="181"/>
      <c r="E187" s="181"/>
      <c r="F187" s="181"/>
      <c r="G187" s="181"/>
      <c r="H187" s="181"/>
      <c r="I187" s="182"/>
      <c r="J187" s="181"/>
    </row>
    <row r="188" spans="1:10" ht="15.75" customHeight="1">
      <c r="A188" s="180"/>
      <c r="B188" s="181"/>
      <c r="C188" s="181"/>
      <c r="D188" s="181"/>
      <c r="E188" s="181"/>
      <c r="F188" s="181"/>
      <c r="G188" s="181"/>
      <c r="H188" s="181"/>
      <c r="I188" s="182"/>
      <c r="J188" s="181"/>
    </row>
    <row r="189" spans="1:10" ht="15.75" customHeight="1">
      <c r="A189" s="180"/>
      <c r="B189" s="181"/>
      <c r="C189" s="181"/>
      <c r="D189" s="181"/>
      <c r="E189" s="181"/>
      <c r="F189" s="181"/>
      <c r="G189" s="181"/>
      <c r="H189" s="181"/>
      <c r="I189" s="182"/>
      <c r="J189" s="181"/>
    </row>
    <row r="190" spans="1:10" ht="15.75" customHeight="1">
      <c r="A190" s="180"/>
      <c r="B190" s="181"/>
      <c r="C190" s="181"/>
      <c r="D190" s="181"/>
      <c r="E190" s="181"/>
      <c r="F190" s="181"/>
      <c r="G190" s="181"/>
      <c r="H190" s="181"/>
      <c r="I190" s="182"/>
      <c r="J190" s="181"/>
    </row>
    <row r="191" spans="1:10" ht="15.75" customHeight="1">
      <c r="A191" s="180"/>
      <c r="B191" s="181"/>
      <c r="C191" s="181"/>
      <c r="D191" s="181"/>
      <c r="E191" s="181"/>
      <c r="F191" s="181"/>
      <c r="G191" s="181"/>
      <c r="H191" s="181"/>
      <c r="I191" s="182"/>
      <c r="J191" s="181"/>
    </row>
    <row r="192" spans="1:10" ht="15.75" customHeight="1">
      <c r="A192" s="180"/>
      <c r="B192" s="181"/>
      <c r="C192" s="181"/>
      <c r="D192" s="181"/>
      <c r="E192" s="181"/>
      <c r="F192" s="181"/>
      <c r="G192" s="181"/>
      <c r="H192" s="181"/>
      <c r="I192" s="182"/>
      <c r="J192" s="181"/>
    </row>
    <row r="193" spans="1:10" ht="15.75" customHeight="1">
      <c r="A193" s="180"/>
      <c r="B193" s="181"/>
      <c r="C193" s="181"/>
      <c r="D193" s="181"/>
      <c r="E193" s="181"/>
      <c r="F193" s="181"/>
      <c r="G193" s="181"/>
      <c r="H193" s="181"/>
      <c r="I193" s="182"/>
      <c r="J193" s="181"/>
    </row>
    <row r="194" spans="1:10" ht="15.75" customHeight="1">
      <c r="A194" s="180"/>
      <c r="B194" s="181"/>
      <c r="C194" s="181"/>
      <c r="D194" s="181"/>
      <c r="E194" s="181"/>
      <c r="F194" s="181"/>
      <c r="G194" s="181"/>
      <c r="H194" s="181"/>
      <c r="I194" s="182"/>
      <c r="J194" s="181"/>
    </row>
    <row r="195" spans="1:10" ht="15.75" customHeight="1">
      <c r="A195" s="180"/>
      <c r="B195" s="181"/>
      <c r="C195" s="181"/>
      <c r="D195" s="181"/>
      <c r="E195" s="181"/>
      <c r="F195" s="181"/>
      <c r="G195" s="181"/>
      <c r="H195" s="181"/>
      <c r="I195" s="182"/>
      <c r="J195" s="181"/>
    </row>
    <row r="196" spans="1:10" ht="15.75" customHeight="1">
      <c r="A196" s="180"/>
      <c r="B196" s="181"/>
      <c r="C196" s="181"/>
      <c r="D196" s="181"/>
      <c r="E196" s="181"/>
      <c r="F196" s="181"/>
      <c r="G196" s="181"/>
      <c r="H196" s="181"/>
      <c r="I196" s="182"/>
      <c r="J196" s="181"/>
    </row>
    <row r="197" spans="1:10" ht="15.75" customHeight="1">
      <c r="A197" s="180"/>
      <c r="B197" s="181"/>
      <c r="C197" s="181"/>
      <c r="D197" s="181"/>
      <c r="E197" s="181"/>
      <c r="F197" s="181"/>
      <c r="G197" s="181"/>
      <c r="H197" s="181"/>
      <c r="I197" s="182"/>
      <c r="J197" s="181"/>
    </row>
    <row r="198" spans="1:10" ht="15.75" customHeight="1">
      <c r="A198" s="180"/>
      <c r="B198" s="181"/>
      <c r="C198" s="181"/>
      <c r="D198" s="181"/>
      <c r="E198" s="181"/>
      <c r="F198" s="181"/>
      <c r="G198" s="181"/>
      <c r="H198" s="181"/>
      <c r="I198" s="182"/>
      <c r="J198" s="181"/>
    </row>
    <row r="199" spans="1:10" ht="15.75" customHeight="1">
      <c r="A199" s="180"/>
      <c r="B199" s="181"/>
      <c r="C199" s="181"/>
      <c r="D199" s="181"/>
      <c r="E199" s="181"/>
      <c r="F199" s="181"/>
      <c r="G199" s="181"/>
      <c r="H199" s="181"/>
      <c r="I199" s="182"/>
      <c r="J199" s="181"/>
    </row>
    <row r="200" spans="1:10" ht="15.75" customHeight="1">
      <c r="A200" s="180"/>
      <c r="B200" s="181"/>
      <c r="C200" s="181"/>
      <c r="D200" s="181"/>
      <c r="E200" s="181"/>
      <c r="F200" s="181"/>
      <c r="G200" s="181"/>
      <c r="H200" s="181"/>
      <c r="I200" s="182"/>
      <c r="J200" s="181"/>
    </row>
    <row r="201" spans="1:10" ht="15.75" customHeight="1">
      <c r="A201" s="180"/>
      <c r="B201" s="181"/>
      <c r="C201" s="181"/>
      <c r="D201" s="181"/>
      <c r="E201" s="181"/>
      <c r="F201" s="181"/>
      <c r="G201" s="181"/>
      <c r="H201" s="181"/>
      <c r="I201" s="182"/>
      <c r="J201" s="181"/>
    </row>
    <row r="202" spans="1:10" ht="15.75" customHeight="1">
      <c r="A202" s="180"/>
      <c r="B202" s="181"/>
      <c r="C202" s="181"/>
      <c r="D202" s="181"/>
      <c r="E202" s="181"/>
      <c r="F202" s="181"/>
      <c r="G202" s="181"/>
      <c r="H202" s="181"/>
      <c r="I202" s="182"/>
      <c r="J202" s="181"/>
    </row>
    <row r="203" spans="1:10" ht="15.75" customHeight="1">
      <c r="A203" s="180"/>
      <c r="B203" s="181"/>
      <c r="C203" s="181"/>
      <c r="D203" s="181"/>
      <c r="E203" s="181"/>
      <c r="F203" s="181"/>
      <c r="G203" s="181"/>
      <c r="H203" s="181"/>
      <c r="I203" s="182"/>
      <c r="J203" s="181"/>
    </row>
    <row r="204" spans="1:10" ht="15.75" customHeight="1">
      <c r="A204" s="180"/>
      <c r="B204" s="181"/>
      <c r="C204" s="181"/>
      <c r="D204" s="181"/>
      <c r="E204" s="181"/>
      <c r="F204" s="181"/>
      <c r="G204" s="181"/>
      <c r="H204" s="181"/>
      <c r="I204" s="182"/>
      <c r="J204" s="181"/>
    </row>
    <row r="205" spans="1:10" ht="15.75" customHeight="1">
      <c r="A205" s="180"/>
      <c r="B205" s="181"/>
      <c r="C205" s="181"/>
      <c r="D205" s="181"/>
      <c r="E205" s="181"/>
      <c r="F205" s="181"/>
      <c r="G205" s="181"/>
      <c r="H205" s="181"/>
      <c r="I205" s="182"/>
      <c r="J205" s="181"/>
    </row>
    <row r="206" spans="1:10" ht="15.75" customHeight="1">
      <c r="A206" s="180"/>
      <c r="B206" s="181"/>
      <c r="C206" s="181"/>
      <c r="D206" s="181"/>
      <c r="E206" s="181"/>
      <c r="F206" s="181"/>
      <c r="G206" s="181"/>
      <c r="H206" s="181"/>
      <c r="I206" s="182"/>
      <c r="J206" s="181"/>
    </row>
    <row r="207" spans="1:10" ht="15.75" customHeight="1">
      <c r="A207" s="180"/>
      <c r="B207" s="181"/>
      <c r="C207" s="181"/>
      <c r="D207" s="181"/>
      <c r="E207" s="181"/>
      <c r="F207" s="181"/>
      <c r="G207" s="181"/>
      <c r="H207" s="181"/>
      <c r="I207" s="182"/>
      <c r="J207" s="181"/>
    </row>
    <row r="208" spans="1:10" ht="15.75" customHeight="1">
      <c r="A208" s="180"/>
      <c r="B208" s="181"/>
      <c r="C208" s="181"/>
      <c r="D208" s="181"/>
      <c r="E208" s="181"/>
      <c r="F208" s="181"/>
      <c r="G208" s="181"/>
      <c r="H208" s="181"/>
      <c r="I208" s="182"/>
      <c r="J208" s="181"/>
    </row>
    <row r="209" spans="1:10" ht="15.75" customHeight="1">
      <c r="A209" s="180"/>
      <c r="B209" s="181"/>
      <c r="C209" s="181"/>
      <c r="D209" s="181"/>
      <c r="E209" s="181"/>
      <c r="F209" s="181"/>
      <c r="G209" s="181"/>
      <c r="H209" s="181"/>
      <c r="I209" s="182"/>
      <c r="J209" s="181"/>
    </row>
    <row r="210" spans="1:10" ht="15.75" customHeight="1">
      <c r="A210" s="180"/>
      <c r="B210" s="181"/>
      <c r="C210" s="181"/>
      <c r="D210" s="181"/>
      <c r="E210" s="181"/>
      <c r="F210" s="181"/>
      <c r="G210" s="181"/>
      <c r="H210" s="181"/>
      <c r="I210" s="182"/>
      <c r="J210" s="181"/>
    </row>
    <row r="211" spans="1:10" ht="15.75" customHeight="1">
      <c r="A211" s="180"/>
      <c r="B211" s="181"/>
      <c r="C211" s="181"/>
      <c r="D211" s="181"/>
      <c r="E211" s="181"/>
      <c r="F211" s="181"/>
      <c r="G211" s="181"/>
      <c r="H211" s="181"/>
      <c r="I211" s="182"/>
      <c r="J211" s="181"/>
    </row>
    <row r="212" spans="1:10" ht="15.75" customHeight="1">
      <c r="A212" s="180"/>
      <c r="B212" s="181"/>
      <c r="C212" s="181"/>
      <c r="D212" s="181"/>
      <c r="E212" s="181"/>
      <c r="F212" s="181"/>
      <c r="G212" s="181"/>
      <c r="H212" s="181"/>
      <c r="I212" s="182"/>
      <c r="J212" s="181"/>
    </row>
    <row r="213" spans="1:10" ht="15.75" customHeight="1">
      <c r="A213" s="180"/>
      <c r="B213" s="181"/>
      <c r="C213" s="181"/>
      <c r="D213" s="181"/>
      <c r="E213" s="181"/>
      <c r="F213" s="181"/>
      <c r="G213" s="181"/>
      <c r="H213" s="181"/>
      <c r="I213" s="182"/>
      <c r="J213" s="181"/>
    </row>
    <row r="214" spans="1:10" ht="15.75" customHeight="1">
      <c r="A214" s="180"/>
      <c r="B214" s="181"/>
      <c r="C214" s="181"/>
      <c r="D214" s="181"/>
      <c r="E214" s="181"/>
      <c r="F214" s="181"/>
      <c r="G214" s="181"/>
      <c r="H214" s="181"/>
      <c r="I214" s="182"/>
      <c r="J214" s="181"/>
    </row>
    <row r="215" spans="1:10" ht="15.75" customHeight="1">
      <c r="A215" s="180"/>
      <c r="B215" s="181"/>
      <c r="C215" s="181"/>
      <c r="D215" s="181"/>
      <c r="E215" s="181"/>
      <c r="F215" s="181"/>
      <c r="G215" s="181"/>
      <c r="H215" s="181"/>
      <c r="I215" s="182"/>
      <c r="J215" s="181"/>
    </row>
    <row r="216" spans="1:10" ht="15.75" customHeight="1">
      <c r="A216" s="180"/>
      <c r="B216" s="181"/>
      <c r="C216" s="181"/>
      <c r="D216" s="181"/>
      <c r="E216" s="181"/>
      <c r="F216" s="181"/>
      <c r="G216" s="181"/>
      <c r="H216" s="181"/>
      <c r="I216" s="182"/>
      <c r="J216" s="181"/>
    </row>
    <row r="217" spans="1:10" ht="15.75" customHeight="1">
      <c r="A217" s="180"/>
      <c r="B217" s="181"/>
      <c r="C217" s="181"/>
      <c r="D217" s="181"/>
      <c r="E217" s="181"/>
      <c r="F217" s="181"/>
      <c r="G217" s="181"/>
      <c r="H217" s="181"/>
      <c r="I217" s="182"/>
      <c r="J217" s="181"/>
    </row>
    <row r="218" spans="1:10" ht="15.75" customHeight="1">
      <c r="A218" s="180"/>
      <c r="B218" s="181"/>
      <c r="C218" s="181"/>
      <c r="D218" s="181"/>
      <c r="E218" s="181"/>
      <c r="F218" s="181"/>
      <c r="G218" s="181"/>
      <c r="H218" s="181"/>
      <c r="I218" s="182"/>
      <c r="J218" s="181"/>
    </row>
    <row r="219" spans="1:10" ht="15.75" customHeight="1">
      <c r="A219" s="180"/>
      <c r="B219" s="181"/>
      <c r="C219" s="181"/>
      <c r="D219" s="181"/>
      <c r="E219" s="181"/>
      <c r="F219" s="181"/>
      <c r="G219" s="181"/>
      <c r="H219" s="181"/>
      <c r="I219" s="182"/>
      <c r="J219" s="181"/>
    </row>
    <row r="220" spans="1:10" ht="15.75" customHeight="1">
      <c r="A220" s="180"/>
      <c r="B220" s="181"/>
      <c r="C220" s="181"/>
      <c r="D220" s="181"/>
      <c r="E220" s="181"/>
      <c r="F220" s="181"/>
      <c r="G220" s="181"/>
      <c r="H220" s="181"/>
      <c r="I220" s="182"/>
      <c r="J220" s="181"/>
    </row>
    <row r="221" spans="1:10" ht="15.75" customHeight="1">
      <c r="A221" s="180"/>
      <c r="B221" s="181"/>
      <c r="C221" s="181"/>
      <c r="D221" s="181"/>
      <c r="E221" s="181"/>
      <c r="F221" s="181"/>
      <c r="G221" s="181"/>
      <c r="H221" s="181"/>
      <c r="I221" s="182"/>
      <c r="J221" s="181"/>
    </row>
    <row r="222" spans="1:10" ht="15.75" customHeight="1">
      <c r="A222" s="180"/>
      <c r="B222" s="181"/>
      <c r="C222" s="181"/>
      <c r="D222" s="181"/>
      <c r="E222" s="181"/>
      <c r="F222" s="181"/>
      <c r="G222" s="181"/>
      <c r="H222" s="181"/>
      <c r="I222" s="182"/>
      <c r="J222" s="181"/>
    </row>
    <row r="223" spans="1:10" ht="15.75" customHeight="1">
      <c r="A223" s="180"/>
      <c r="B223" s="181"/>
      <c r="C223" s="181"/>
      <c r="D223" s="181"/>
      <c r="E223" s="181"/>
      <c r="F223" s="181"/>
      <c r="G223" s="181"/>
      <c r="H223" s="181"/>
      <c r="I223" s="182"/>
      <c r="J223" s="181"/>
    </row>
    <row r="224" spans="1:10" ht="15.75" customHeight="1">
      <c r="A224" s="180"/>
      <c r="B224" s="181"/>
      <c r="C224" s="181"/>
      <c r="D224" s="181"/>
      <c r="E224" s="181"/>
      <c r="F224" s="181"/>
      <c r="G224" s="181"/>
      <c r="H224" s="181"/>
      <c r="I224" s="182"/>
      <c r="J224" s="181"/>
    </row>
    <row r="225" spans="1:10" ht="15.75" customHeight="1">
      <c r="A225" s="180"/>
      <c r="B225" s="181"/>
      <c r="C225" s="181"/>
      <c r="D225" s="181"/>
      <c r="E225" s="181"/>
      <c r="F225" s="181"/>
      <c r="G225" s="181"/>
      <c r="H225" s="181"/>
      <c r="I225" s="182"/>
      <c r="J225" s="181"/>
    </row>
    <row r="226" spans="1:10" ht="15.75" customHeight="1">
      <c r="A226" s="180"/>
      <c r="B226" s="181"/>
      <c r="C226" s="181"/>
      <c r="D226" s="181"/>
      <c r="E226" s="181"/>
      <c r="F226" s="181"/>
      <c r="G226" s="181"/>
      <c r="H226" s="181"/>
      <c r="I226" s="182"/>
      <c r="J226" s="181"/>
    </row>
    <row r="227" spans="1:10" ht="15.75" customHeight="1">
      <c r="A227" s="180"/>
      <c r="B227" s="181"/>
      <c r="C227" s="181"/>
      <c r="D227" s="181"/>
      <c r="E227" s="181"/>
      <c r="F227" s="181"/>
      <c r="G227" s="181"/>
      <c r="H227" s="181"/>
      <c r="I227" s="182"/>
      <c r="J227" s="181"/>
    </row>
    <row r="228" spans="1:10" ht="15.75" customHeight="1">
      <c r="A228" s="180"/>
      <c r="B228" s="181"/>
      <c r="C228" s="181"/>
      <c r="D228" s="181"/>
      <c r="E228" s="181"/>
      <c r="F228" s="181"/>
      <c r="G228" s="181"/>
      <c r="H228" s="181"/>
      <c r="I228" s="182"/>
      <c r="J228" s="181"/>
    </row>
    <row r="229" spans="1:10" ht="15.75" customHeight="1">
      <c r="A229" s="180"/>
      <c r="B229" s="181"/>
      <c r="C229" s="181"/>
      <c r="D229" s="181"/>
      <c r="E229" s="181"/>
      <c r="F229" s="181"/>
      <c r="G229" s="181"/>
      <c r="H229" s="181"/>
      <c r="I229" s="182"/>
      <c r="J229" s="181"/>
    </row>
    <row r="230" spans="1:10" ht="15.75" customHeight="1">
      <c r="A230" s="180"/>
      <c r="B230" s="181"/>
      <c r="C230" s="181"/>
      <c r="D230" s="181"/>
      <c r="E230" s="181"/>
      <c r="F230" s="181"/>
      <c r="G230" s="181"/>
      <c r="H230" s="181"/>
      <c r="I230" s="182"/>
      <c r="J230" s="181"/>
    </row>
    <row r="231" spans="1:10" ht="15.75" customHeight="1">
      <c r="A231" s="180"/>
      <c r="B231" s="181"/>
      <c r="C231" s="181"/>
      <c r="D231" s="181"/>
      <c r="E231" s="181"/>
      <c r="F231" s="181"/>
      <c r="G231" s="181"/>
      <c r="H231" s="181"/>
      <c r="I231" s="182"/>
      <c r="J231" s="181"/>
    </row>
    <row r="232" spans="1:10" ht="15.75" customHeight="1">
      <c r="A232" s="180"/>
      <c r="B232" s="181"/>
      <c r="C232" s="181"/>
      <c r="D232" s="181"/>
      <c r="E232" s="181"/>
      <c r="F232" s="181"/>
      <c r="G232" s="181"/>
      <c r="H232" s="181"/>
      <c r="I232" s="182"/>
      <c r="J232" s="181"/>
    </row>
    <row r="233" spans="1:10" ht="15.75" customHeight="1">
      <c r="A233" s="180"/>
      <c r="B233" s="181"/>
      <c r="C233" s="181"/>
      <c r="D233" s="181"/>
      <c r="E233" s="181"/>
      <c r="F233" s="181"/>
      <c r="G233" s="181"/>
      <c r="H233" s="181"/>
      <c r="I233" s="182"/>
      <c r="J233" s="181"/>
    </row>
    <row r="234" spans="1:10" ht="15.75" customHeight="1">
      <c r="A234" s="180"/>
      <c r="B234" s="181"/>
      <c r="C234" s="181"/>
      <c r="D234" s="181"/>
      <c r="E234" s="181"/>
      <c r="F234" s="181"/>
      <c r="G234" s="181"/>
      <c r="H234" s="181"/>
      <c r="I234" s="182"/>
      <c r="J234" s="181"/>
    </row>
    <row r="235" spans="1:10" ht="15.75" customHeight="1">
      <c r="A235" s="180"/>
      <c r="B235" s="181"/>
      <c r="C235" s="181"/>
      <c r="D235" s="181"/>
      <c r="E235" s="181"/>
      <c r="F235" s="181"/>
      <c r="G235" s="181"/>
      <c r="H235" s="181"/>
      <c r="I235" s="182"/>
      <c r="J235" s="181"/>
    </row>
    <row r="236" spans="1:10" ht="15.75" customHeight="1">
      <c r="A236" s="180"/>
      <c r="B236" s="181"/>
      <c r="C236" s="181"/>
      <c r="D236" s="181"/>
      <c r="E236" s="181"/>
      <c r="F236" s="181"/>
      <c r="G236" s="181"/>
      <c r="H236" s="181"/>
      <c r="I236" s="182"/>
      <c r="J236" s="181"/>
    </row>
    <row r="237" spans="1:10" ht="15.75" customHeight="1">
      <c r="A237" s="180"/>
      <c r="B237" s="181"/>
      <c r="C237" s="181"/>
      <c r="D237" s="181"/>
      <c r="E237" s="181"/>
      <c r="F237" s="181"/>
      <c r="G237" s="181"/>
      <c r="H237" s="181"/>
      <c r="I237" s="182"/>
      <c r="J237" s="181"/>
    </row>
    <row r="238" spans="1:10" ht="15.75" customHeight="1">
      <c r="A238" s="180"/>
      <c r="B238" s="181"/>
      <c r="C238" s="181"/>
      <c r="D238" s="181"/>
      <c r="E238" s="181"/>
      <c r="F238" s="181"/>
      <c r="G238" s="181"/>
      <c r="H238" s="181"/>
      <c r="I238" s="182"/>
      <c r="J238" s="181"/>
    </row>
    <row r="239" spans="1:10" ht="15.75" customHeight="1">
      <c r="A239" s="180"/>
      <c r="B239" s="181"/>
      <c r="C239" s="181"/>
      <c r="D239" s="181"/>
      <c r="E239" s="181"/>
      <c r="F239" s="181"/>
      <c r="G239" s="181"/>
      <c r="H239" s="181"/>
      <c r="I239" s="182"/>
      <c r="J239" s="181"/>
    </row>
    <row r="240" spans="1:10" ht="15.75" customHeight="1">
      <c r="A240" s="180"/>
      <c r="B240" s="181"/>
      <c r="C240" s="181"/>
      <c r="D240" s="181"/>
      <c r="E240" s="181"/>
      <c r="F240" s="181"/>
      <c r="G240" s="181"/>
      <c r="H240" s="181"/>
      <c r="I240" s="182"/>
      <c r="J240" s="181"/>
    </row>
    <row r="241" spans="1:10" ht="15.75" customHeight="1">
      <c r="A241" s="180"/>
      <c r="B241" s="181"/>
      <c r="C241" s="181"/>
      <c r="D241" s="181"/>
      <c r="E241" s="181"/>
      <c r="F241" s="181"/>
      <c r="G241" s="181"/>
      <c r="H241" s="181"/>
      <c r="I241" s="182"/>
      <c r="J241" s="181"/>
    </row>
    <row r="242" spans="1:10" ht="15.75" customHeight="1">
      <c r="A242" s="180"/>
      <c r="B242" s="181"/>
      <c r="C242" s="181"/>
      <c r="D242" s="181"/>
      <c r="E242" s="181"/>
      <c r="F242" s="181"/>
      <c r="G242" s="181"/>
      <c r="H242" s="181"/>
      <c r="I242" s="182"/>
      <c r="J242" s="181"/>
    </row>
    <row r="243" spans="1:10" ht="15.75" customHeight="1">
      <c r="A243" s="180"/>
      <c r="B243" s="181"/>
      <c r="C243" s="181"/>
      <c r="D243" s="181"/>
      <c r="E243" s="181"/>
      <c r="F243" s="181"/>
      <c r="G243" s="181"/>
      <c r="H243" s="181"/>
      <c r="I243" s="182"/>
      <c r="J243" s="181"/>
    </row>
    <row r="244" spans="1:10" ht="15.75" customHeight="1">
      <c r="A244" s="180"/>
      <c r="B244" s="181"/>
      <c r="C244" s="181"/>
      <c r="D244" s="181"/>
      <c r="E244" s="181"/>
      <c r="F244" s="181"/>
      <c r="G244" s="181"/>
      <c r="H244" s="181"/>
      <c r="I244" s="182"/>
      <c r="J244" s="181"/>
    </row>
    <row r="245" spans="1:10" ht="15.75" customHeight="1">
      <c r="A245" s="180"/>
      <c r="B245" s="181"/>
      <c r="C245" s="181"/>
      <c r="D245" s="181"/>
      <c r="E245" s="181"/>
      <c r="F245" s="181"/>
      <c r="G245" s="181"/>
      <c r="H245" s="181"/>
      <c r="I245" s="182"/>
      <c r="J245" s="181"/>
    </row>
    <row r="246" spans="1:10" ht="15.75" customHeight="1">
      <c r="A246" s="180"/>
      <c r="B246" s="181"/>
      <c r="C246" s="181"/>
      <c r="D246" s="181"/>
      <c r="E246" s="181"/>
      <c r="F246" s="181"/>
      <c r="G246" s="181"/>
      <c r="H246" s="181"/>
      <c r="I246" s="182"/>
      <c r="J246" s="181"/>
    </row>
    <row r="247" spans="1:10" ht="15.75" customHeight="1">
      <c r="A247" s="180"/>
      <c r="B247" s="181"/>
      <c r="C247" s="181"/>
      <c r="D247" s="181"/>
      <c r="E247" s="181"/>
      <c r="F247" s="181"/>
      <c r="G247" s="181"/>
      <c r="H247" s="181"/>
      <c r="I247" s="182"/>
      <c r="J247" s="181"/>
    </row>
    <row r="248" spans="1:10" ht="15.75" customHeight="1">
      <c r="A248" s="180"/>
      <c r="B248" s="181"/>
      <c r="C248" s="181"/>
      <c r="D248" s="181"/>
      <c r="E248" s="181"/>
      <c r="F248" s="181"/>
      <c r="G248" s="181"/>
      <c r="H248" s="181"/>
      <c r="I248" s="182"/>
      <c r="J248" s="181"/>
    </row>
    <row r="249" spans="1:10" ht="15.75" customHeight="1">
      <c r="A249" s="180"/>
      <c r="B249" s="181"/>
      <c r="C249" s="181"/>
      <c r="D249" s="181"/>
      <c r="E249" s="181"/>
      <c r="F249" s="181"/>
      <c r="G249" s="181"/>
      <c r="H249" s="181"/>
      <c r="I249" s="182"/>
      <c r="J249" s="181"/>
    </row>
    <row r="250" spans="1:10" ht="15.75" customHeight="1">
      <c r="A250" s="180"/>
      <c r="B250" s="181"/>
      <c r="C250" s="181"/>
      <c r="D250" s="181"/>
      <c r="E250" s="181"/>
      <c r="F250" s="181"/>
      <c r="G250" s="181"/>
      <c r="H250" s="181"/>
      <c r="I250" s="182"/>
      <c r="J250" s="181"/>
    </row>
    <row r="251" spans="1:10" ht="15.75" customHeight="1">
      <c r="A251" s="180"/>
      <c r="B251" s="181"/>
      <c r="C251" s="181"/>
      <c r="D251" s="181"/>
      <c r="E251" s="181"/>
      <c r="F251" s="181"/>
      <c r="G251" s="181"/>
      <c r="H251" s="181"/>
      <c r="I251" s="182"/>
      <c r="J251" s="181"/>
    </row>
    <row r="252" spans="1:10" ht="15.75" customHeight="1">
      <c r="A252" s="180"/>
      <c r="B252" s="181"/>
      <c r="C252" s="181"/>
      <c r="D252" s="181"/>
      <c r="E252" s="181"/>
      <c r="F252" s="181"/>
      <c r="G252" s="181"/>
      <c r="H252" s="181"/>
      <c r="I252" s="182"/>
      <c r="J252" s="181"/>
    </row>
    <row r="253" spans="1:10" ht="15.75" customHeight="1">
      <c r="A253" s="180"/>
      <c r="B253" s="181"/>
      <c r="C253" s="181"/>
      <c r="D253" s="181"/>
      <c r="E253" s="181"/>
      <c r="F253" s="181"/>
      <c r="G253" s="181"/>
      <c r="H253" s="181"/>
      <c r="I253" s="182"/>
      <c r="J253" s="181"/>
    </row>
    <row r="254" spans="1:10" ht="15.75" customHeight="1">
      <c r="A254" s="180"/>
      <c r="B254" s="181"/>
      <c r="C254" s="181"/>
      <c r="D254" s="181"/>
      <c r="E254" s="181"/>
      <c r="F254" s="181"/>
      <c r="G254" s="181"/>
      <c r="H254" s="181"/>
      <c r="I254" s="182"/>
      <c r="J254" s="181"/>
    </row>
    <row r="255" spans="1:10" ht="15.75" customHeight="1">
      <c r="A255" s="180"/>
      <c r="B255" s="181"/>
      <c r="C255" s="181"/>
      <c r="D255" s="181"/>
      <c r="E255" s="181"/>
      <c r="F255" s="181"/>
      <c r="G255" s="181"/>
      <c r="H255" s="181"/>
      <c r="I255" s="182"/>
      <c r="J255" s="181"/>
    </row>
    <row r="256" spans="1:10" ht="15.75" customHeight="1">
      <c r="A256" s="180"/>
      <c r="B256" s="181"/>
      <c r="C256" s="181"/>
      <c r="D256" s="181"/>
      <c r="E256" s="181"/>
      <c r="F256" s="181"/>
      <c r="G256" s="181"/>
      <c r="H256" s="181"/>
      <c r="I256" s="182"/>
      <c r="J256" s="181"/>
    </row>
    <row r="257" spans="1:10" ht="15.75" customHeight="1">
      <c r="A257" s="180"/>
      <c r="B257" s="181"/>
      <c r="C257" s="181"/>
      <c r="D257" s="181"/>
      <c r="E257" s="181"/>
      <c r="F257" s="181"/>
      <c r="G257" s="181"/>
      <c r="H257" s="181"/>
      <c r="I257" s="182"/>
      <c r="J257" s="181"/>
    </row>
    <row r="258" spans="1:10" ht="15.75" customHeight="1">
      <c r="A258" s="180"/>
      <c r="B258" s="181"/>
      <c r="C258" s="181"/>
      <c r="D258" s="181"/>
      <c r="E258" s="181"/>
      <c r="F258" s="181"/>
      <c r="G258" s="181"/>
      <c r="H258" s="181"/>
      <c r="I258" s="182"/>
      <c r="J258" s="181"/>
    </row>
    <row r="259" spans="1:10" ht="15.75" customHeight="1">
      <c r="A259" s="180"/>
      <c r="B259" s="181"/>
      <c r="C259" s="181"/>
      <c r="D259" s="181"/>
      <c r="E259" s="181"/>
      <c r="F259" s="181"/>
      <c r="G259" s="181"/>
      <c r="H259" s="181"/>
      <c r="I259" s="182"/>
      <c r="J259" s="181"/>
    </row>
    <row r="260" spans="1:10" ht="15.75" customHeight="1">
      <c r="A260" s="180"/>
      <c r="B260" s="181"/>
      <c r="C260" s="181"/>
      <c r="D260" s="181"/>
      <c r="E260" s="181"/>
      <c r="F260" s="181"/>
      <c r="G260" s="181"/>
      <c r="H260" s="181"/>
      <c r="I260" s="182"/>
      <c r="J260" s="181"/>
    </row>
    <row r="261" spans="1:10" ht="15.75" customHeight="1">
      <c r="A261" s="180"/>
      <c r="B261" s="181"/>
      <c r="C261" s="181"/>
      <c r="D261" s="181"/>
      <c r="E261" s="181"/>
      <c r="F261" s="181"/>
      <c r="G261" s="181"/>
      <c r="H261" s="181"/>
      <c r="I261" s="182"/>
      <c r="J261" s="181"/>
    </row>
    <row r="262" spans="1:10" ht="15.75" customHeight="1">
      <c r="A262" s="180"/>
      <c r="B262" s="181"/>
      <c r="C262" s="181"/>
      <c r="D262" s="181"/>
      <c r="E262" s="181"/>
      <c r="F262" s="181"/>
      <c r="G262" s="181"/>
      <c r="H262" s="181"/>
      <c r="I262" s="182"/>
      <c r="J262" s="181"/>
    </row>
    <row r="263" spans="1:10" ht="15.75" customHeight="1">
      <c r="A263" s="180"/>
      <c r="B263" s="181"/>
      <c r="C263" s="181"/>
      <c r="D263" s="181"/>
      <c r="E263" s="181"/>
      <c r="F263" s="181"/>
      <c r="G263" s="181"/>
      <c r="H263" s="181"/>
      <c r="I263" s="182"/>
      <c r="J263" s="181"/>
    </row>
    <row r="264" spans="1:10" ht="15.75" customHeight="1">
      <c r="A264" s="180"/>
      <c r="B264" s="181"/>
      <c r="C264" s="181"/>
      <c r="D264" s="181"/>
      <c r="E264" s="181"/>
      <c r="F264" s="181"/>
      <c r="G264" s="181"/>
      <c r="H264" s="181"/>
      <c r="I264" s="182"/>
      <c r="J264" s="181"/>
    </row>
    <row r="265" spans="1:10" ht="15.75" customHeight="1">
      <c r="A265" s="180"/>
      <c r="B265" s="181"/>
      <c r="C265" s="181"/>
      <c r="D265" s="181"/>
      <c r="E265" s="181"/>
      <c r="F265" s="181"/>
      <c r="G265" s="181"/>
      <c r="H265" s="181"/>
      <c r="I265" s="182"/>
      <c r="J265" s="181"/>
    </row>
    <row r="266" spans="1:10" ht="15.75" customHeight="1">
      <c r="A266" s="180"/>
      <c r="B266" s="181"/>
      <c r="C266" s="181"/>
      <c r="D266" s="181"/>
      <c r="E266" s="181"/>
      <c r="F266" s="181"/>
      <c r="G266" s="181"/>
      <c r="H266" s="181"/>
      <c r="I266" s="182"/>
      <c r="J266" s="181"/>
    </row>
    <row r="267" spans="1:10" ht="15.75" customHeight="1">
      <c r="A267" s="180"/>
      <c r="B267" s="181"/>
      <c r="C267" s="181"/>
      <c r="D267" s="181"/>
      <c r="E267" s="181"/>
      <c r="F267" s="181"/>
      <c r="G267" s="181"/>
      <c r="H267" s="181"/>
      <c r="I267" s="182"/>
      <c r="J267" s="181"/>
    </row>
    <row r="268" spans="1:10" ht="15.75" customHeight="1">
      <c r="A268" s="180"/>
      <c r="B268" s="181"/>
      <c r="C268" s="181"/>
      <c r="D268" s="181"/>
      <c r="E268" s="181"/>
      <c r="F268" s="181"/>
      <c r="G268" s="181"/>
      <c r="H268" s="181"/>
      <c r="I268" s="182"/>
      <c r="J268" s="181"/>
    </row>
    <row r="269" spans="1:10" ht="15.75" customHeight="1">
      <c r="A269" s="180"/>
      <c r="B269" s="181"/>
      <c r="C269" s="181"/>
      <c r="D269" s="181"/>
      <c r="E269" s="181"/>
      <c r="F269" s="181"/>
      <c r="G269" s="181"/>
      <c r="H269" s="181"/>
      <c r="I269" s="182"/>
      <c r="J269" s="181"/>
    </row>
    <row r="270" spans="1:10" ht="15.75" customHeight="1">
      <c r="A270" s="180"/>
      <c r="B270" s="181"/>
      <c r="C270" s="181"/>
      <c r="D270" s="181"/>
      <c r="E270" s="181"/>
      <c r="F270" s="181"/>
      <c r="G270" s="181"/>
      <c r="H270" s="181"/>
      <c r="I270" s="182"/>
      <c r="J270" s="181"/>
    </row>
    <row r="271" spans="1:10" ht="15.75" customHeight="1">
      <c r="A271" s="180"/>
      <c r="B271" s="181"/>
      <c r="C271" s="181"/>
      <c r="D271" s="181"/>
      <c r="E271" s="181"/>
      <c r="F271" s="181"/>
      <c r="G271" s="181"/>
      <c r="H271" s="181"/>
      <c r="I271" s="182"/>
      <c r="J271" s="181"/>
    </row>
    <row r="272" spans="1:10" ht="15.75" customHeight="1">
      <c r="A272" s="180"/>
      <c r="B272" s="181"/>
      <c r="C272" s="181"/>
      <c r="D272" s="181"/>
      <c r="E272" s="181"/>
      <c r="F272" s="181"/>
      <c r="G272" s="181"/>
      <c r="H272" s="181"/>
      <c r="I272" s="182"/>
      <c r="J272" s="181"/>
    </row>
    <row r="273" spans="1:10" ht="15.75" customHeight="1">
      <c r="A273" s="180"/>
      <c r="B273" s="181"/>
      <c r="C273" s="181"/>
      <c r="D273" s="181"/>
      <c r="E273" s="181"/>
      <c r="F273" s="181"/>
      <c r="G273" s="181"/>
      <c r="H273" s="181"/>
      <c r="I273" s="182"/>
      <c r="J273" s="181"/>
    </row>
    <row r="274" spans="1:10" ht="15.75" customHeight="1">
      <c r="A274" s="180"/>
      <c r="B274" s="181"/>
      <c r="C274" s="181"/>
      <c r="D274" s="181"/>
      <c r="E274" s="181"/>
      <c r="F274" s="181"/>
      <c r="G274" s="181"/>
      <c r="H274" s="181"/>
      <c r="I274" s="182"/>
      <c r="J274" s="181"/>
    </row>
    <row r="275" spans="1:10" ht="15.75" customHeight="1">
      <c r="A275" s="180"/>
      <c r="B275" s="181"/>
      <c r="C275" s="181"/>
      <c r="D275" s="181"/>
      <c r="E275" s="181"/>
      <c r="F275" s="181"/>
      <c r="G275" s="181"/>
      <c r="H275" s="181"/>
      <c r="I275" s="182"/>
      <c r="J275" s="181"/>
    </row>
    <row r="276" spans="1:10" ht="15.75" customHeight="1">
      <c r="A276" s="180"/>
      <c r="B276" s="181"/>
      <c r="C276" s="181"/>
      <c r="D276" s="181"/>
      <c r="E276" s="181"/>
      <c r="F276" s="181"/>
      <c r="G276" s="181"/>
      <c r="H276" s="181"/>
      <c r="I276" s="182"/>
      <c r="J276" s="181"/>
    </row>
    <row r="277" spans="1:10" ht="15.75" customHeight="1">
      <c r="A277" s="180"/>
      <c r="B277" s="181"/>
      <c r="C277" s="181"/>
      <c r="D277" s="181"/>
      <c r="E277" s="181"/>
      <c r="F277" s="181"/>
      <c r="G277" s="181"/>
      <c r="H277" s="181"/>
      <c r="I277" s="182"/>
      <c r="J277" s="181"/>
    </row>
    <row r="278" spans="1:10" ht="15.75" customHeight="1">
      <c r="A278" s="180"/>
      <c r="B278" s="181"/>
      <c r="C278" s="181"/>
      <c r="D278" s="181"/>
      <c r="E278" s="181"/>
      <c r="F278" s="181"/>
      <c r="G278" s="181"/>
      <c r="H278" s="181"/>
      <c r="I278" s="182"/>
      <c r="J278" s="181"/>
    </row>
    <row r="279" spans="1:10" ht="15.75" customHeight="1">
      <c r="A279" s="180"/>
      <c r="B279" s="181"/>
      <c r="C279" s="181"/>
      <c r="D279" s="181"/>
      <c r="E279" s="181"/>
      <c r="F279" s="181"/>
      <c r="G279" s="181"/>
      <c r="H279" s="181"/>
      <c r="I279" s="182"/>
      <c r="J279" s="181"/>
    </row>
    <row r="280" spans="1:10" ht="15.75" customHeight="1">
      <c r="A280" s="180"/>
      <c r="B280" s="181"/>
      <c r="C280" s="181"/>
      <c r="D280" s="181"/>
      <c r="E280" s="181"/>
      <c r="F280" s="181"/>
      <c r="G280" s="181"/>
      <c r="H280" s="181"/>
      <c r="I280" s="182"/>
      <c r="J280" s="181"/>
    </row>
    <row r="281" spans="1:10" ht="15.75" customHeight="1">
      <c r="A281" s="180"/>
      <c r="B281" s="181"/>
      <c r="C281" s="181"/>
      <c r="D281" s="181"/>
      <c r="E281" s="181"/>
      <c r="F281" s="181"/>
      <c r="G281" s="181"/>
      <c r="H281" s="181"/>
      <c r="I281" s="182"/>
      <c r="J281" s="181"/>
    </row>
    <row r="282" spans="1:10" ht="15.75" customHeight="1">
      <c r="A282" s="180"/>
      <c r="B282" s="181"/>
      <c r="C282" s="181"/>
      <c r="D282" s="181"/>
      <c r="E282" s="181"/>
      <c r="F282" s="181"/>
      <c r="G282" s="181"/>
      <c r="H282" s="181"/>
      <c r="I282" s="182"/>
      <c r="J282" s="181"/>
    </row>
    <row r="283" spans="1:10" ht="15.75" customHeight="1">
      <c r="A283" s="180"/>
      <c r="B283" s="181"/>
      <c r="C283" s="181"/>
      <c r="D283" s="181"/>
      <c r="E283" s="181"/>
      <c r="F283" s="181"/>
      <c r="G283" s="181"/>
      <c r="H283" s="181"/>
      <c r="I283" s="182"/>
      <c r="J283" s="181"/>
    </row>
    <row r="284" spans="1:10" ht="15.75" customHeight="1">
      <c r="A284" s="180"/>
      <c r="B284" s="181"/>
      <c r="C284" s="181"/>
      <c r="D284" s="181"/>
      <c r="E284" s="181"/>
      <c r="F284" s="181"/>
      <c r="G284" s="181"/>
      <c r="H284" s="181"/>
      <c r="I284" s="182"/>
      <c r="J284" s="181"/>
    </row>
    <row r="285" spans="1:10" ht="15.75" customHeight="1">
      <c r="A285" s="180"/>
      <c r="B285" s="181"/>
      <c r="C285" s="181"/>
      <c r="D285" s="181"/>
      <c r="E285" s="181"/>
      <c r="F285" s="181"/>
      <c r="G285" s="181"/>
      <c r="H285" s="181"/>
      <c r="I285" s="182"/>
      <c r="J285" s="181"/>
    </row>
    <row r="286" spans="1:10" ht="15.75" customHeight="1">
      <c r="A286" s="180"/>
      <c r="B286" s="181"/>
      <c r="C286" s="181"/>
      <c r="D286" s="181"/>
      <c r="E286" s="181"/>
      <c r="F286" s="181"/>
      <c r="G286" s="181"/>
      <c r="H286" s="181"/>
      <c r="I286" s="182"/>
      <c r="J286" s="181"/>
    </row>
    <row r="287" spans="1:10" ht="15.75" customHeight="1">
      <c r="A287" s="180"/>
      <c r="B287" s="181"/>
      <c r="C287" s="181"/>
      <c r="D287" s="181"/>
      <c r="E287" s="181"/>
      <c r="F287" s="181"/>
      <c r="G287" s="181"/>
      <c r="H287" s="181"/>
      <c r="I287" s="182"/>
      <c r="J287" s="181"/>
    </row>
    <row r="288" spans="1:10" ht="15.75" customHeight="1">
      <c r="A288" s="180"/>
      <c r="B288" s="181"/>
      <c r="C288" s="181"/>
      <c r="D288" s="181"/>
      <c r="E288" s="181"/>
      <c r="F288" s="181"/>
      <c r="G288" s="181"/>
      <c r="H288" s="181"/>
      <c r="I288" s="182"/>
      <c r="J288" s="181"/>
    </row>
    <row r="289" spans="1:10" ht="15.75" customHeight="1">
      <c r="A289" s="180"/>
      <c r="B289" s="181"/>
      <c r="C289" s="181"/>
      <c r="D289" s="181"/>
      <c r="E289" s="181"/>
      <c r="F289" s="181"/>
      <c r="G289" s="181"/>
      <c r="H289" s="181"/>
      <c r="I289" s="182"/>
      <c r="J289" s="181"/>
    </row>
    <row r="290" spans="1:10" ht="15.75" customHeight="1">
      <c r="A290" s="180"/>
      <c r="B290" s="181"/>
      <c r="C290" s="181"/>
      <c r="D290" s="181"/>
      <c r="E290" s="181"/>
      <c r="F290" s="181"/>
      <c r="G290" s="181"/>
      <c r="H290" s="181"/>
      <c r="I290" s="182"/>
      <c r="J290" s="181"/>
    </row>
    <row r="291" spans="1:10" ht="15.75" customHeight="1">
      <c r="A291" s="180"/>
      <c r="B291" s="181"/>
      <c r="C291" s="181"/>
      <c r="D291" s="181"/>
      <c r="E291" s="181"/>
      <c r="F291" s="181"/>
      <c r="G291" s="181"/>
      <c r="H291" s="181"/>
      <c r="I291" s="182"/>
      <c r="J291" s="181"/>
    </row>
    <row r="292" spans="1:10" ht="15.75" customHeight="1">
      <c r="A292" s="180"/>
      <c r="B292" s="181"/>
      <c r="C292" s="181"/>
      <c r="D292" s="181"/>
      <c r="E292" s="181"/>
      <c r="F292" s="181"/>
      <c r="G292" s="181"/>
      <c r="H292" s="181"/>
      <c r="I292" s="182"/>
      <c r="J292" s="181"/>
    </row>
    <row r="293" spans="1:10" ht="15.75" customHeight="1">
      <c r="A293" s="180"/>
      <c r="B293" s="181"/>
      <c r="C293" s="181"/>
      <c r="D293" s="181"/>
      <c r="E293" s="181"/>
      <c r="F293" s="181"/>
      <c r="G293" s="181"/>
      <c r="H293" s="181"/>
      <c r="I293" s="182"/>
      <c r="J293" s="181"/>
    </row>
    <row r="294" spans="1:10" ht="15.75" customHeight="1">
      <c r="A294" s="180"/>
      <c r="B294" s="181"/>
      <c r="C294" s="181"/>
      <c r="D294" s="181"/>
      <c r="E294" s="181"/>
      <c r="F294" s="181"/>
      <c r="G294" s="181"/>
      <c r="H294" s="181"/>
      <c r="I294" s="182"/>
      <c r="J294" s="181"/>
    </row>
    <row r="295" spans="1:10" ht="15.75" customHeight="1">
      <c r="A295" s="180"/>
      <c r="B295" s="181"/>
      <c r="C295" s="181"/>
      <c r="D295" s="181"/>
      <c r="E295" s="181"/>
      <c r="F295" s="181"/>
      <c r="G295" s="181"/>
      <c r="H295" s="181"/>
      <c r="I295" s="182"/>
      <c r="J295" s="181"/>
    </row>
    <row r="296" spans="1:10" ht="15.75" customHeight="1">
      <c r="A296" s="180"/>
      <c r="B296" s="181"/>
      <c r="C296" s="181"/>
      <c r="D296" s="181"/>
      <c r="E296" s="181"/>
      <c r="F296" s="181"/>
      <c r="G296" s="181"/>
      <c r="H296" s="181"/>
      <c r="I296" s="182"/>
      <c r="J296" s="181"/>
    </row>
    <row r="297" spans="1:10" ht="15.75" customHeight="1">
      <c r="A297" s="180"/>
      <c r="B297" s="181"/>
      <c r="C297" s="181"/>
      <c r="D297" s="181"/>
      <c r="E297" s="181"/>
      <c r="F297" s="181"/>
      <c r="G297" s="181"/>
      <c r="H297" s="181"/>
      <c r="I297" s="182"/>
      <c r="J297" s="181"/>
    </row>
    <row r="298" spans="1:10" ht="15.75" customHeight="1">
      <c r="A298" s="180"/>
      <c r="B298" s="181"/>
      <c r="C298" s="181"/>
      <c r="D298" s="181"/>
      <c r="E298" s="181"/>
      <c r="F298" s="181"/>
      <c r="G298" s="181"/>
      <c r="H298" s="181"/>
      <c r="I298" s="182"/>
      <c r="J298" s="181"/>
    </row>
    <row r="299" spans="1:10" ht="15.75" customHeight="1">
      <c r="A299" s="180"/>
      <c r="B299" s="181"/>
      <c r="C299" s="181"/>
      <c r="D299" s="181"/>
      <c r="E299" s="181"/>
      <c r="F299" s="181"/>
      <c r="G299" s="181"/>
      <c r="H299" s="181"/>
      <c r="I299" s="182"/>
      <c r="J299" s="181"/>
    </row>
    <row r="300" spans="1:10" ht="15.75" customHeight="1">
      <c r="A300" s="180"/>
      <c r="B300" s="181"/>
      <c r="C300" s="181"/>
      <c r="D300" s="181"/>
      <c r="E300" s="181"/>
      <c r="F300" s="181"/>
      <c r="G300" s="181"/>
      <c r="H300" s="181"/>
      <c r="I300" s="182"/>
      <c r="J300" s="181"/>
    </row>
    <row r="301" spans="1:10" ht="15.75" customHeight="1">
      <c r="A301" s="180"/>
      <c r="B301" s="181"/>
      <c r="C301" s="181"/>
      <c r="D301" s="181"/>
      <c r="E301" s="181"/>
      <c r="F301" s="181"/>
      <c r="G301" s="181"/>
      <c r="H301" s="181"/>
      <c r="I301" s="182"/>
      <c r="J301" s="181"/>
    </row>
    <row r="302" spans="1:10" ht="15.75" customHeight="1">
      <c r="A302" s="180"/>
      <c r="B302" s="181"/>
      <c r="C302" s="181"/>
      <c r="D302" s="181"/>
      <c r="E302" s="181"/>
      <c r="F302" s="181"/>
      <c r="G302" s="181"/>
      <c r="H302" s="181"/>
      <c r="I302" s="182"/>
      <c r="J302" s="181"/>
    </row>
    <row r="303" spans="1:10" ht="15.75" customHeight="1">
      <c r="A303" s="180"/>
      <c r="B303" s="181"/>
      <c r="C303" s="181"/>
      <c r="D303" s="181"/>
      <c r="E303" s="181"/>
      <c r="F303" s="181"/>
      <c r="G303" s="181"/>
      <c r="H303" s="181"/>
      <c r="I303" s="182"/>
      <c r="J303" s="181"/>
    </row>
    <row r="304" spans="1:10" ht="15.75" customHeight="1">
      <c r="A304" s="180"/>
      <c r="B304" s="181"/>
      <c r="C304" s="181"/>
      <c r="D304" s="181"/>
      <c r="E304" s="181"/>
      <c r="F304" s="181"/>
      <c r="G304" s="181"/>
      <c r="H304" s="181"/>
      <c r="I304" s="182"/>
      <c r="J304" s="181"/>
    </row>
    <row r="305" spans="1:10" ht="15.75" customHeight="1">
      <c r="A305" s="180"/>
      <c r="B305" s="181"/>
      <c r="C305" s="181"/>
      <c r="D305" s="181"/>
      <c r="E305" s="181"/>
      <c r="F305" s="181"/>
      <c r="G305" s="181"/>
      <c r="H305" s="181"/>
      <c r="I305" s="182"/>
      <c r="J305" s="181"/>
    </row>
    <row r="306" spans="1:10" ht="15.75" customHeight="1">
      <c r="A306" s="180"/>
      <c r="B306" s="181"/>
      <c r="C306" s="181"/>
      <c r="D306" s="181"/>
      <c r="E306" s="181"/>
      <c r="F306" s="181"/>
      <c r="G306" s="181"/>
      <c r="H306" s="181"/>
      <c r="I306" s="182"/>
      <c r="J306" s="181"/>
    </row>
    <row r="307" spans="1:10" ht="15.75" customHeight="1">
      <c r="A307" s="180"/>
      <c r="B307" s="181"/>
      <c r="C307" s="181"/>
      <c r="D307" s="181"/>
      <c r="E307" s="181"/>
      <c r="F307" s="181"/>
      <c r="G307" s="181"/>
      <c r="H307" s="181"/>
      <c r="I307" s="182"/>
      <c r="J307" s="181"/>
    </row>
    <row r="308" spans="1:10" ht="15.75" customHeight="1">
      <c r="A308" s="180"/>
      <c r="B308" s="181"/>
      <c r="C308" s="181"/>
      <c r="D308" s="181"/>
      <c r="E308" s="181"/>
      <c r="F308" s="181"/>
      <c r="G308" s="181"/>
      <c r="H308" s="181"/>
      <c r="I308" s="182"/>
      <c r="J308" s="181"/>
    </row>
    <row r="309" spans="1:10" ht="15.75" customHeight="1">
      <c r="A309" s="180"/>
      <c r="B309" s="181"/>
      <c r="C309" s="181"/>
      <c r="D309" s="181"/>
      <c r="E309" s="181"/>
      <c r="F309" s="181"/>
      <c r="G309" s="181"/>
      <c r="H309" s="181"/>
      <c r="I309" s="182"/>
      <c r="J309" s="181"/>
    </row>
    <row r="310" spans="1:10" ht="15.75" customHeight="1">
      <c r="A310" s="180"/>
      <c r="B310" s="181"/>
      <c r="C310" s="181"/>
      <c r="D310" s="181"/>
      <c r="E310" s="181"/>
      <c r="F310" s="181"/>
      <c r="G310" s="181"/>
      <c r="H310" s="181"/>
      <c r="I310" s="182"/>
      <c r="J310" s="181"/>
    </row>
    <row r="311" spans="1:10" ht="15.75" customHeight="1">
      <c r="A311" s="180"/>
      <c r="B311" s="181"/>
      <c r="C311" s="181"/>
      <c r="D311" s="181"/>
      <c r="E311" s="181"/>
      <c r="F311" s="181"/>
      <c r="G311" s="181"/>
      <c r="H311" s="181"/>
      <c r="I311" s="182"/>
      <c r="J311" s="181"/>
    </row>
    <row r="312" spans="1:10" ht="15.75" customHeight="1">
      <c r="A312" s="180"/>
      <c r="B312" s="181"/>
      <c r="C312" s="181"/>
      <c r="D312" s="181"/>
      <c r="E312" s="181"/>
      <c r="F312" s="181"/>
      <c r="G312" s="181"/>
      <c r="H312" s="181"/>
      <c r="I312" s="182"/>
      <c r="J312" s="181"/>
    </row>
    <row r="313" spans="1:10" ht="15.75" customHeight="1">
      <c r="A313" s="180"/>
      <c r="B313" s="181"/>
      <c r="C313" s="181"/>
      <c r="D313" s="181"/>
      <c r="E313" s="181"/>
      <c r="F313" s="181"/>
      <c r="G313" s="181"/>
      <c r="H313" s="181"/>
      <c r="I313" s="182"/>
      <c r="J313" s="181"/>
    </row>
    <row r="314" spans="1:10" ht="15.75" customHeight="1">
      <c r="A314" s="180"/>
      <c r="B314" s="181"/>
      <c r="C314" s="181"/>
      <c r="D314" s="181"/>
      <c r="E314" s="181"/>
      <c r="F314" s="181"/>
      <c r="G314" s="181"/>
      <c r="H314" s="181"/>
      <c r="I314" s="182"/>
      <c r="J314" s="181"/>
    </row>
    <row r="315" spans="1:10" ht="15.75" customHeight="1">
      <c r="A315" s="180"/>
      <c r="B315" s="181"/>
      <c r="C315" s="181"/>
      <c r="D315" s="181"/>
      <c r="E315" s="181"/>
      <c r="F315" s="181"/>
      <c r="G315" s="181"/>
      <c r="H315" s="181"/>
      <c r="I315" s="182"/>
      <c r="J315" s="181"/>
    </row>
    <row r="316" spans="1:10" ht="15.75" customHeight="1">
      <c r="A316" s="180"/>
      <c r="B316" s="181"/>
      <c r="C316" s="181"/>
      <c r="D316" s="181"/>
      <c r="E316" s="181"/>
      <c r="F316" s="181"/>
      <c r="G316" s="181"/>
      <c r="H316" s="181"/>
      <c r="I316" s="182"/>
      <c r="J316" s="181"/>
    </row>
    <row r="317" spans="1:10" ht="15.75" customHeight="1">
      <c r="A317" s="180"/>
      <c r="B317" s="181"/>
      <c r="C317" s="181"/>
      <c r="D317" s="181"/>
      <c r="E317" s="181"/>
      <c r="F317" s="181"/>
      <c r="G317" s="181"/>
      <c r="H317" s="181"/>
      <c r="I317" s="182"/>
      <c r="J317" s="181"/>
    </row>
    <row r="318" spans="1:10" ht="15.75" customHeight="1">
      <c r="A318" s="180"/>
      <c r="B318" s="181"/>
      <c r="C318" s="181"/>
      <c r="D318" s="181"/>
      <c r="E318" s="181"/>
      <c r="F318" s="181"/>
      <c r="G318" s="181"/>
      <c r="H318" s="181"/>
      <c r="I318" s="182"/>
      <c r="J318" s="181"/>
    </row>
    <row r="319" spans="1:10" ht="15.75" customHeight="1">
      <c r="A319" s="180"/>
      <c r="B319" s="181"/>
      <c r="C319" s="181"/>
      <c r="D319" s="181"/>
      <c r="E319" s="181"/>
      <c r="F319" s="181"/>
      <c r="G319" s="181"/>
      <c r="H319" s="181"/>
      <c r="I319" s="182"/>
      <c r="J319" s="181"/>
    </row>
    <row r="320" spans="1:10" ht="15.75" customHeight="1">
      <c r="A320" s="180"/>
      <c r="B320" s="181"/>
      <c r="C320" s="181"/>
      <c r="D320" s="181"/>
      <c r="E320" s="181"/>
      <c r="F320" s="181"/>
      <c r="G320" s="181"/>
      <c r="H320" s="181"/>
      <c r="I320" s="182"/>
      <c r="J320" s="181"/>
    </row>
    <row r="321" spans="1:10" ht="15.75" customHeight="1">
      <c r="A321" s="180"/>
      <c r="B321" s="181"/>
      <c r="C321" s="181"/>
      <c r="D321" s="181"/>
      <c r="E321" s="181"/>
      <c r="F321" s="181"/>
      <c r="G321" s="181"/>
      <c r="H321" s="181"/>
      <c r="I321" s="182"/>
      <c r="J321" s="181"/>
    </row>
    <row r="322" spans="1:10" ht="15.75" customHeight="1">
      <c r="A322" s="180"/>
      <c r="B322" s="181"/>
      <c r="C322" s="181"/>
      <c r="D322" s="181"/>
      <c r="E322" s="181"/>
      <c r="F322" s="181"/>
      <c r="G322" s="181"/>
      <c r="H322" s="181"/>
      <c r="I322" s="182"/>
      <c r="J322" s="181"/>
    </row>
    <row r="323" spans="1:10" ht="15.75" customHeight="1">
      <c r="A323" s="180"/>
      <c r="B323" s="181"/>
      <c r="C323" s="181"/>
      <c r="D323" s="181"/>
      <c r="E323" s="181"/>
      <c r="F323" s="181"/>
      <c r="G323" s="181"/>
      <c r="H323" s="181"/>
      <c r="I323" s="182"/>
      <c r="J323" s="181"/>
    </row>
    <row r="324" spans="1:10" ht="15.75" customHeight="1">
      <c r="A324" s="180"/>
      <c r="B324" s="181"/>
      <c r="C324" s="181"/>
      <c r="D324" s="181"/>
      <c r="E324" s="181"/>
      <c r="F324" s="181"/>
      <c r="G324" s="181"/>
      <c r="H324" s="181"/>
      <c r="I324" s="182"/>
      <c r="J324" s="181"/>
    </row>
    <row r="325" spans="1:10" ht="15.75" customHeight="1">
      <c r="A325" s="180"/>
      <c r="B325" s="181"/>
      <c r="C325" s="181"/>
      <c r="D325" s="181"/>
      <c r="E325" s="181"/>
      <c r="F325" s="181"/>
      <c r="G325" s="181"/>
      <c r="H325" s="181"/>
      <c r="I325" s="182"/>
      <c r="J325" s="181"/>
    </row>
    <row r="326" spans="1:10" ht="15.75" customHeight="1">
      <c r="A326" s="180"/>
      <c r="B326" s="181"/>
      <c r="C326" s="181"/>
      <c r="D326" s="181"/>
      <c r="E326" s="181"/>
      <c r="F326" s="181"/>
      <c r="G326" s="181"/>
      <c r="H326" s="181"/>
      <c r="I326" s="182"/>
      <c r="J326" s="181"/>
    </row>
    <row r="327" spans="1:10" ht="15.75" customHeight="1">
      <c r="A327" s="180"/>
      <c r="B327" s="181"/>
      <c r="C327" s="181"/>
      <c r="D327" s="181"/>
      <c r="E327" s="181"/>
      <c r="F327" s="181"/>
      <c r="G327" s="181"/>
      <c r="H327" s="181"/>
      <c r="I327" s="182"/>
      <c r="J327" s="181"/>
    </row>
    <row r="328" spans="1:10" ht="15.75" customHeight="1">
      <c r="A328" s="180"/>
      <c r="B328" s="181"/>
      <c r="C328" s="181"/>
      <c r="D328" s="181"/>
      <c r="E328" s="181"/>
      <c r="F328" s="181"/>
      <c r="G328" s="181"/>
      <c r="H328" s="181"/>
      <c r="I328" s="182"/>
      <c r="J328" s="181"/>
    </row>
    <row r="329" spans="1:10" ht="15.75" customHeight="1">
      <c r="A329" s="180"/>
      <c r="B329" s="181"/>
      <c r="C329" s="181"/>
      <c r="D329" s="181"/>
      <c r="E329" s="181"/>
      <c r="F329" s="181"/>
      <c r="G329" s="181"/>
      <c r="H329" s="181"/>
      <c r="I329" s="182"/>
      <c r="J329" s="181"/>
    </row>
    <row r="330" spans="1:10" ht="15.75" customHeight="1">
      <c r="A330" s="180"/>
      <c r="B330" s="181"/>
      <c r="C330" s="181"/>
      <c r="D330" s="181"/>
      <c r="E330" s="181"/>
      <c r="F330" s="181"/>
      <c r="G330" s="181"/>
      <c r="H330" s="181"/>
      <c r="I330" s="182"/>
      <c r="J330" s="181"/>
    </row>
    <row r="331" spans="1:10" ht="15.75" customHeight="1">
      <c r="A331" s="180"/>
      <c r="B331" s="181"/>
      <c r="C331" s="181"/>
      <c r="D331" s="181"/>
      <c r="E331" s="181"/>
      <c r="F331" s="181"/>
      <c r="G331" s="181"/>
      <c r="H331" s="181"/>
      <c r="I331" s="182"/>
      <c r="J331" s="181"/>
    </row>
    <row r="332" spans="1:10" ht="15.75" customHeight="1">
      <c r="A332" s="180"/>
      <c r="B332" s="181"/>
      <c r="C332" s="181"/>
      <c r="D332" s="181"/>
      <c r="E332" s="181"/>
      <c r="F332" s="181"/>
      <c r="G332" s="181"/>
      <c r="H332" s="181"/>
      <c r="I332" s="182"/>
      <c r="J332" s="181"/>
    </row>
    <row r="333" spans="1:10" ht="15.75" customHeight="1">
      <c r="A333" s="180"/>
      <c r="B333" s="181"/>
      <c r="C333" s="181"/>
      <c r="D333" s="181"/>
      <c r="E333" s="181"/>
      <c r="F333" s="181"/>
      <c r="G333" s="181"/>
      <c r="H333" s="181"/>
      <c r="I333" s="182"/>
      <c r="J333" s="181"/>
    </row>
    <row r="334" spans="1:10" ht="15.75" customHeight="1">
      <c r="A334" s="180"/>
      <c r="B334" s="181"/>
      <c r="C334" s="181"/>
      <c r="D334" s="181"/>
      <c r="E334" s="181"/>
      <c r="F334" s="181"/>
      <c r="G334" s="181"/>
      <c r="H334" s="181"/>
      <c r="I334" s="182"/>
      <c r="J334" s="181"/>
    </row>
    <row r="335" spans="1:10" ht="15.75" customHeight="1">
      <c r="A335" s="180"/>
      <c r="B335" s="181"/>
      <c r="C335" s="181"/>
      <c r="D335" s="181"/>
      <c r="E335" s="181"/>
      <c r="F335" s="181"/>
      <c r="G335" s="181"/>
      <c r="H335" s="181"/>
      <c r="I335" s="182"/>
      <c r="J335" s="181"/>
    </row>
    <row r="336" spans="1:10" ht="15.75" customHeight="1">
      <c r="A336" s="180"/>
      <c r="B336" s="181"/>
      <c r="C336" s="181"/>
      <c r="D336" s="181"/>
      <c r="E336" s="181"/>
      <c r="F336" s="181"/>
      <c r="G336" s="181"/>
      <c r="H336" s="181"/>
      <c r="I336" s="182"/>
      <c r="J336" s="181"/>
    </row>
    <row r="337" spans="1:10" ht="15.75" customHeight="1">
      <c r="A337" s="180"/>
      <c r="B337" s="181"/>
      <c r="C337" s="181"/>
      <c r="D337" s="181"/>
      <c r="E337" s="181"/>
      <c r="F337" s="181"/>
      <c r="G337" s="181"/>
      <c r="H337" s="181"/>
      <c r="I337" s="182"/>
      <c r="J337" s="181"/>
    </row>
    <row r="338" spans="1:10" ht="15.75" customHeight="1">
      <c r="A338" s="180"/>
      <c r="B338" s="181"/>
      <c r="C338" s="181"/>
      <c r="D338" s="181"/>
      <c r="E338" s="181"/>
      <c r="F338" s="181"/>
      <c r="G338" s="181"/>
      <c r="H338" s="181"/>
      <c r="I338" s="182"/>
      <c r="J338" s="181"/>
    </row>
    <row r="339" spans="1:10" ht="15.75" customHeight="1">
      <c r="A339" s="180"/>
      <c r="B339" s="181"/>
      <c r="C339" s="181"/>
      <c r="D339" s="181"/>
      <c r="E339" s="181"/>
      <c r="F339" s="181"/>
      <c r="G339" s="181"/>
      <c r="H339" s="181"/>
      <c r="I339" s="182"/>
      <c r="J339" s="181"/>
    </row>
    <row r="340" spans="1:10" ht="15.75" customHeight="1">
      <c r="A340" s="180"/>
      <c r="B340" s="181"/>
      <c r="C340" s="181"/>
      <c r="D340" s="181"/>
      <c r="E340" s="181"/>
      <c r="F340" s="181"/>
      <c r="G340" s="181"/>
      <c r="H340" s="181"/>
      <c r="I340" s="182"/>
      <c r="J340" s="181"/>
    </row>
    <row r="341" spans="1:10" ht="15.75" customHeight="1">
      <c r="A341" s="180"/>
      <c r="B341" s="181"/>
      <c r="C341" s="181"/>
      <c r="D341" s="181"/>
      <c r="E341" s="181"/>
      <c r="F341" s="181"/>
      <c r="G341" s="181"/>
      <c r="H341" s="181"/>
      <c r="I341" s="182"/>
      <c r="J341" s="181"/>
    </row>
    <row r="342" spans="1:10" ht="15.75" customHeight="1">
      <c r="A342" s="180"/>
      <c r="B342" s="181"/>
      <c r="C342" s="181"/>
      <c r="D342" s="181"/>
      <c r="E342" s="181"/>
      <c r="F342" s="181"/>
      <c r="G342" s="181"/>
      <c r="H342" s="181"/>
      <c r="I342" s="182"/>
      <c r="J342" s="181"/>
    </row>
    <row r="343" spans="1:10" ht="15.75" customHeight="1">
      <c r="A343" s="180"/>
      <c r="B343" s="181"/>
      <c r="C343" s="181"/>
      <c r="D343" s="181"/>
      <c r="E343" s="181"/>
      <c r="F343" s="181"/>
      <c r="G343" s="181"/>
      <c r="H343" s="181"/>
      <c r="I343" s="182"/>
      <c r="J343" s="181"/>
    </row>
    <row r="344" spans="1:10" ht="15.75" customHeight="1">
      <c r="A344" s="180"/>
      <c r="B344" s="181"/>
      <c r="C344" s="181"/>
      <c r="D344" s="181"/>
      <c r="E344" s="181"/>
      <c r="F344" s="181"/>
      <c r="G344" s="181"/>
      <c r="H344" s="181"/>
      <c r="I344" s="182"/>
      <c r="J344" s="181"/>
    </row>
    <row r="345" spans="1:10" ht="15.75" customHeight="1">
      <c r="A345" s="180"/>
      <c r="B345" s="181"/>
      <c r="C345" s="181"/>
      <c r="D345" s="181"/>
      <c r="E345" s="181"/>
      <c r="F345" s="181"/>
      <c r="G345" s="181"/>
      <c r="H345" s="181"/>
      <c r="I345" s="182"/>
      <c r="J345" s="181"/>
    </row>
    <row r="346" spans="1:10" ht="15.75" customHeight="1">
      <c r="A346" s="180"/>
      <c r="B346" s="181"/>
      <c r="C346" s="181"/>
      <c r="D346" s="181"/>
      <c r="E346" s="181"/>
      <c r="F346" s="181"/>
      <c r="G346" s="181"/>
      <c r="H346" s="181"/>
      <c r="I346" s="182"/>
      <c r="J346" s="181"/>
    </row>
    <row r="347" spans="1:10" ht="15.75" customHeight="1">
      <c r="A347" s="180"/>
      <c r="B347" s="181"/>
      <c r="C347" s="181"/>
      <c r="D347" s="181"/>
      <c r="E347" s="181"/>
      <c r="F347" s="181"/>
      <c r="G347" s="181"/>
      <c r="H347" s="181"/>
      <c r="I347" s="182"/>
      <c r="J347" s="181"/>
    </row>
    <row r="348" spans="1:10" ht="15.75" customHeight="1">
      <c r="A348" s="180"/>
      <c r="B348" s="181"/>
      <c r="C348" s="181"/>
      <c r="D348" s="181"/>
      <c r="E348" s="181"/>
      <c r="F348" s="181"/>
      <c r="G348" s="181"/>
      <c r="H348" s="181"/>
      <c r="I348" s="182"/>
      <c r="J348" s="181"/>
    </row>
    <row r="349" spans="1:10" ht="15.75" customHeight="1">
      <c r="A349" s="180"/>
      <c r="B349" s="181"/>
      <c r="C349" s="181"/>
      <c r="D349" s="181"/>
      <c r="E349" s="181"/>
      <c r="F349" s="181"/>
      <c r="G349" s="181"/>
      <c r="H349" s="181"/>
      <c r="I349" s="182"/>
      <c r="J349" s="181"/>
    </row>
    <row r="350" spans="1:10" ht="15.75" customHeight="1">
      <c r="A350" s="180"/>
      <c r="B350" s="181"/>
      <c r="C350" s="181"/>
      <c r="D350" s="181"/>
      <c r="E350" s="181"/>
      <c r="F350" s="181"/>
      <c r="G350" s="181"/>
      <c r="H350" s="181"/>
      <c r="I350" s="182"/>
      <c r="J350" s="181"/>
    </row>
    <row r="351" spans="1:10" ht="15.75" customHeight="1">
      <c r="A351" s="180"/>
      <c r="B351" s="181"/>
      <c r="C351" s="181"/>
      <c r="D351" s="181"/>
      <c r="E351" s="181"/>
      <c r="F351" s="181"/>
      <c r="G351" s="181"/>
      <c r="H351" s="181"/>
      <c r="I351" s="182"/>
      <c r="J351" s="181"/>
    </row>
    <row r="352" spans="1:10" ht="15.75" customHeight="1">
      <c r="A352" s="180"/>
      <c r="B352" s="181"/>
      <c r="C352" s="181"/>
      <c r="D352" s="181"/>
      <c r="E352" s="181"/>
      <c r="F352" s="181"/>
      <c r="G352" s="181"/>
      <c r="H352" s="181"/>
      <c r="I352" s="182"/>
      <c r="J352" s="181"/>
    </row>
    <row r="353" spans="1:10" ht="15.75" customHeight="1">
      <c r="A353" s="180"/>
      <c r="B353" s="181"/>
      <c r="C353" s="181"/>
      <c r="D353" s="181"/>
      <c r="E353" s="181"/>
      <c r="F353" s="181"/>
      <c r="G353" s="181"/>
      <c r="H353" s="181"/>
      <c r="I353" s="182"/>
      <c r="J353" s="181"/>
    </row>
    <row r="354" spans="1:10" ht="15.75" customHeight="1">
      <c r="A354" s="180"/>
      <c r="B354" s="181"/>
      <c r="C354" s="181"/>
      <c r="D354" s="181"/>
      <c r="E354" s="181"/>
      <c r="F354" s="181"/>
      <c r="G354" s="181"/>
      <c r="H354" s="181"/>
      <c r="I354" s="182"/>
      <c r="J354" s="181"/>
    </row>
    <row r="355" spans="1:10" ht="15.75" customHeight="1">
      <c r="A355" s="180"/>
      <c r="B355" s="181"/>
      <c r="C355" s="181"/>
      <c r="D355" s="181"/>
      <c r="E355" s="181"/>
      <c r="F355" s="181"/>
      <c r="G355" s="181"/>
      <c r="H355" s="181"/>
      <c r="I355" s="182"/>
      <c r="J355" s="181"/>
    </row>
    <row r="356" spans="1:10" ht="15.75" customHeight="1">
      <c r="A356" s="180"/>
      <c r="B356" s="181"/>
      <c r="C356" s="181"/>
      <c r="D356" s="181"/>
      <c r="E356" s="181"/>
      <c r="F356" s="181"/>
      <c r="G356" s="181"/>
      <c r="H356" s="181"/>
      <c r="I356" s="182"/>
      <c r="J356" s="181"/>
    </row>
    <row r="357" spans="1:10" ht="15.75" customHeight="1">
      <c r="A357" s="180"/>
      <c r="B357" s="181"/>
      <c r="C357" s="181"/>
      <c r="D357" s="181"/>
      <c r="E357" s="181"/>
      <c r="F357" s="181"/>
      <c r="G357" s="181"/>
      <c r="H357" s="181"/>
      <c r="I357" s="182"/>
      <c r="J357" s="181"/>
    </row>
    <row r="358" spans="1:10" ht="15.75" customHeight="1">
      <c r="A358" s="180"/>
      <c r="B358" s="181"/>
      <c r="C358" s="181"/>
      <c r="D358" s="181"/>
      <c r="E358" s="181"/>
      <c r="F358" s="181"/>
      <c r="G358" s="181"/>
      <c r="H358" s="181"/>
      <c r="I358" s="182"/>
      <c r="J358" s="181"/>
    </row>
    <row r="359" spans="1:10" ht="15.75" customHeight="1">
      <c r="A359" s="180"/>
      <c r="B359" s="181"/>
      <c r="C359" s="181"/>
      <c r="D359" s="181"/>
      <c r="E359" s="181"/>
      <c r="F359" s="181"/>
      <c r="G359" s="181"/>
      <c r="H359" s="181"/>
      <c r="I359" s="182"/>
      <c r="J359" s="181"/>
    </row>
    <row r="360" spans="1:10" ht="15.75" customHeight="1">
      <c r="A360" s="180"/>
      <c r="B360" s="181"/>
      <c r="C360" s="181"/>
      <c r="D360" s="181"/>
      <c r="E360" s="181"/>
      <c r="F360" s="181"/>
      <c r="G360" s="181"/>
      <c r="H360" s="181"/>
      <c r="I360" s="182"/>
      <c r="J360" s="181"/>
    </row>
    <row r="361" spans="1:10" ht="15.75" customHeight="1">
      <c r="A361" s="180"/>
      <c r="B361" s="181"/>
      <c r="C361" s="181"/>
      <c r="D361" s="181"/>
      <c r="E361" s="181"/>
      <c r="F361" s="181"/>
      <c r="G361" s="181"/>
      <c r="H361" s="181"/>
      <c r="I361" s="182"/>
      <c r="J361" s="181"/>
    </row>
    <row r="362" spans="1:10" ht="15.75" customHeight="1">
      <c r="A362" s="180"/>
      <c r="B362" s="181"/>
      <c r="C362" s="181"/>
      <c r="D362" s="181"/>
      <c r="E362" s="181"/>
      <c r="F362" s="181"/>
      <c r="G362" s="181"/>
      <c r="H362" s="181"/>
      <c r="I362" s="182"/>
      <c r="J362" s="181"/>
    </row>
    <row r="363" spans="1:10" ht="15.75" customHeight="1">
      <c r="A363" s="180"/>
      <c r="B363" s="181"/>
      <c r="C363" s="181"/>
      <c r="D363" s="181"/>
      <c r="E363" s="181"/>
      <c r="F363" s="181"/>
      <c r="G363" s="181"/>
      <c r="H363" s="181"/>
      <c r="I363" s="182"/>
      <c r="J363" s="181"/>
    </row>
    <row r="364" spans="1:10" ht="15.75" customHeight="1">
      <c r="A364" s="180"/>
      <c r="B364" s="181"/>
      <c r="C364" s="181"/>
      <c r="D364" s="181"/>
      <c r="E364" s="181"/>
      <c r="F364" s="181"/>
      <c r="G364" s="181"/>
      <c r="H364" s="181"/>
      <c r="I364" s="182"/>
      <c r="J364" s="181"/>
    </row>
    <row r="365" spans="1:10" ht="15.75" customHeight="1">
      <c r="A365" s="180"/>
      <c r="B365" s="181"/>
      <c r="C365" s="181"/>
      <c r="D365" s="181"/>
      <c r="E365" s="181"/>
      <c r="F365" s="181"/>
      <c r="G365" s="181"/>
      <c r="H365" s="181"/>
      <c r="I365" s="182"/>
      <c r="J365" s="181"/>
    </row>
    <row r="366" spans="1:10" ht="15.75" customHeight="1">
      <c r="A366" s="180"/>
      <c r="B366" s="181"/>
      <c r="C366" s="181"/>
      <c r="D366" s="181"/>
      <c r="E366" s="181"/>
      <c r="F366" s="181"/>
      <c r="G366" s="181"/>
      <c r="H366" s="181"/>
      <c r="I366" s="182"/>
      <c r="J366" s="181"/>
    </row>
    <row r="367" spans="1:10" ht="15.75" customHeight="1">
      <c r="A367" s="180"/>
      <c r="B367" s="181"/>
      <c r="C367" s="181"/>
      <c r="D367" s="181"/>
      <c r="E367" s="181"/>
      <c r="F367" s="181"/>
      <c r="G367" s="181"/>
      <c r="H367" s="181"/>
      <c r="I367" s="182"/>
      <c r="J367" s="181"/>
    </row>
    <row r="368" spans="1:10" ht="15.75" customHeight="1">
      <c r="A368" s="180"/>
      <c r="B368" s="181"/>
      <c r="C368" s="181"/>
      <c r="D368" s="181"/>
      <c r="E368" s="181"/>
      <c r="F368" s="181"/>
      <c r="G368" s="181"/>
      <c r="H368" s="181"/>
      <c r="I368" s="182"/>
      <c r="J368" s="181"/>
    </row>
    <row r="369" spans="1:10" ht="15.75" customHeight="1">
      <c r="A369" s="180"/>
      <c r="B369" s="181"/>
      <c r="C369" s="181"/>
      <c r="D369" s="181"/>
      <c r="E369" s="181"/>
      <c r="F369" s="181"/>
      <c r="G369" s="181"/>
      <c r="H369" s="181"/>
      <c r="I369" s="182"/>
      <c r="J369" s="181"/>
    </row>
    <row r="370" spans="1:10" ht="15.75" customHeight="1">
      <c r="A370" s="180"/>
      <c r="B370" s="181"/>
      <c r="C370" s="181"/>
      <c r="D370" s="181"/>
      <c r="E370" s="181"/>
      <c r="F370" s="181"/>
      <c r="G370" s="181"/>
      <c r="H370" s="181"/>
      <c r="I370" s="182"/>
      <c r="J370" s="181"/>
    </row>
    <row r="371" spans="1:10" ht="15.75" customHeight="1">
      <c r="A371" s="180"/>
      <c r="B371" s="181"/>
      <c r="C371" s="181"/>
      <c r="D371" s="181"/>
      <c r="E371" s="181"/>
      <c r="F371" s="181"/>
      <c r="G371" s="181"/>
      <c r="H371" s="181"/>
      <c r="I371" s="182"/>
      <c r="J371" s="181"/>
    </row>
    <row r="372" spans="1:10" ht="15.75" customHeight="1">
      <c r="A372" s="180"/>
      <c r="B372" s="181"/>
      <c r="C372" s="181"/>
      <c r="D372" s="181"/>
      <c r="E372" s="181"/>
      <c r="F372" s="181"/>
      <c r="G372" s="181"/>
      <c r="H372" s="181"/>
      <c r="I372" s="182"/>
      <c r="J372" s="181"/>
    </row>
    <row r="373" spans="1:10" ht="15.75" customHeight="1">
      <c r="A373" s="180"/>
      <c r="B373" s="181"/>
      <c r="C373" s="181"/>
      <c r="D373" s="181"/>
      <c r="E373" s="181"/>
      <c r="F373" s="181"/>
      <c r="G373" s="181"/>
      <c r="H373" s="181"/>
      <c r="I373" s="182"/>
      <c r="J373" s="181"/>
    </row>
    <row r="374" spans="1:10" ht="15.75" customHeight="1">
      <c r="A374" s="180"/>
      <c r="B374" s="181"/>
      <c r="C374" s="181"/>
      <c r="D374" s="181"/>
      <c r="E374" s="181"/>
      <c r="F374" s="181"/>
      <c r="G374" s="181"/>
      <c r="H374" s="181"/>
      <c r="I374" s="182"/>
      <c r="J374" s="181"/>
    </row>
    <row r="375" spans="1:10" ht="15.75" customHeight="1">
      <c r="A375" s="180"/>
      <c r="B375" s="181"/>
      <c r="C375" s="181"/>
      <c r="D375" s="181"/>
      <c r="E375" s="181"/>
      <c r="F375" s="181"/>
      <c r="G375" s="181"/>
      <c r="H375" s="181"/>
      <c r="I375" s="182"/>
      <c r="J375" s="181"/>
    </row>
    <row r="376" spans="1:10" ht="15.75" customHeight="1">
      <c r="A376" s="180"/>
      <c r="B376" s="181"/>
      <c r="C376" s="181"/>
      <c r="D376" s="181"/>
      <c r="E376" s="181"/>
      <c r="F376" s="181"/>
      <c r="G376" s="181"/>
      <c r="H376" s="181"/>
      <c r="I376" s="182"/>
      <c r="J376" s="181"/>
    </row>
    <row r="377" spans="1:10" ht="15.75" customHeight="1">
      <c r="A377" s="180"/>
      <c r="B377" s="181"/>
      <c r="C377" s="181"/>
      <c r="D377" s="181"/>
      <c r="E377" s="181"/>
      <c r="F377" s="181"/>
      <c r="G377" s="181"/>
      <c r="H377" s="181"/>
      <c r="I377" s="182"/>
      <c r="J377" s="181"/>
    </row>
    <row r="378" spans="1:10" ht="15.75" customHeight="1">
      <c r="A378" s="180"/>
      <c r="B378" s="181"/>
      <c r="C378" s="181"/>
      <c r="D378" s="181"/>
      <c r="E378" s="181"/>
      <c r="F378" s="181"/>
      <c r="G378" s="181"/>
      <c r="H378" s="181"/>
      <c r="I378" s="182"/>
      <c r="J378" s="181"/>
    </row>
    <row r="379" spans="1:10" ht="15.75" customHeight="1">
      <c r="A379" s="180"/>
      <c r="B379" s="181"/>
      <c r="C379" s="181"/>
      <c r="D379" s="181"/>
      <c r="E379" s="181"/>
      <c r="F379" s="181"/>
      <c r="G379" s="181"/>
      <c r="H379" s="181"/>
      <c r="I379" s="182"/>
      <c r="J379" s="181"/>
    </row>
    <row r="380" spans="1:10" ht="15.75" customHeight="1">
      <c r="A380" s="180"/>
      <c r="B380" s="181"/>
      <c r="C380" s="181"/>
      <c r="D380" s="181"/>
      <c r="E380" s="181"/>
      <c r="F380" s="181"/>
      <c r="G380" s="181"/>
      <c r="H380" s="181"/>
      <c r="I380" s="182"/>
      <c r="J380" s="181"/>
    </row>
    <row r="381" spans="1:10" ht="15.75" customHeight="1">
      <c r="A381" s="180"/>
      <c r="B381" s="181"/>
      <c r="C381" s="181"/>
      <c r="D381" s="181"/>
      <c r="E381" s="181"/>
      <c r="F381" s="181"/>
      <c r="G381" s="181"/>
      <c r="H381" s="181"/>
      <c r="I381" s="182"/>
      <c r="J381" s="181"/>
    </row>
    <row r="382" spans="1:10" ht="15.75" customHeight="1">
      <c r="A382" s="180"/>
      <c r="B382" s="181"/>
      <c r="C382" s="181"/>
      <c r="D382" s="181"/>
      <c r="E382" s="181"/>
      <c r="F382" s="181"/>
      <c r="G382" s="181"/>
      <c r="H382" s="181"/>
      <c r="I382" s="182"/>
      <c r="J382" s="181"/>
    </row>
    <row r="383" spans="1:10" ht="15.75" customHeight="1">
      <c r="A383" s="180"/>
      <c r="B383" s="181"/>
      <c r="C383" s="181"/>
      <c r="D383" s="181"/>
      <c r="E383" s="181"/>
      <c r="F383" s="181"/>
      <c r="G383" s="181"/>
      <c r="H383" s="181"/>
      <c r="I383" s="182"/>
      <c r="J383" s="181"/>
    </row>
    <row r="384" spans="1:10" ht="15.75" customHeight="1">
      <c r="A384" s="180"/>
      <c r="B384" s="181"/>
      <c r="C384" s="181"/>
      <c r="D384" s="181"/>
      <c r="E384" s="181"/>
      <c r="F384" s="181"/>
      <c r="G384" s="181"/>
      <c r="H384" s="181"/>
      <c r="I384" s="182"/>
      <c r="J384" s="181"/>
    </row>
    <row r="385" spans="1:10" ht="15.75" customHeight="1">
      <c r="A385" s="180"/>
      <c r="B385" s="181"/>
      <c r="C385" s="181"/>
      <c r="D385" s="181"/>
      <c r="E385" s="181"/>
      <c r="F385" s="181"/>
      <c r="G385" s="181"/>
      <c r="H385" s="181"/>
      <c r="I385" s="182"/>
      <c r="J385" s="181"/>
    </row>
    <row r="386" spans="1:10" ht="15.75" customHeight="1">
      <c r="A386" s="180"/>
      <c r="B386" s="181"/>
      <c r="C386" s="181"/>
      <c r="D386" s="181"/>
      <c r="E386" s="181"/>
      <c r="F386" s="181"/>
      <c r="G386" s="181"/>
      <c r="H386" s="181"/>
      <c r="I386" s="182"/>
      <c r="J386" s="181"/>
    </row>
    <row r="387" spans="1:10" ht="15.75" customHeight="1">
      <c r="A387" s="180"/>
      <c r="B387" s="181"/>
      <c r="C387" s="181"/>
      <c r="D387" s="181"/>
      <c r="E387" s="181"/>
      <c r="F387" s="181"/>
      <c r="G387" s="181"/>
      <c r="H387" s="181"/>
      <c r="I387" s="182"/>
      <c r="J387" s="181"/>
    </row>
    <row r="388" spans="1:10" ht="15.75" customHeight="1">
      <c r="A388" s="180"/>
      <c r="B388" s="181"/>
      <c r="C388" s="181"/>
      <c r="D388" s="181"/>
      <c r="E388" s="181"/>
      <c r="F388" s="181"/>
      <c r="G388" s="181"/>
      <c r="H388" s="181"/>
      <c r="I388" s="182"/>
      <c r="J388" s="181"/>
    </row>
    <row r="389" spans="1:10" ht="15.75" customHeight="1">
      <c r="A389" s="180"/>
      <c r="B389" s="181"/>
      <c r="C389" s="181"/>
      <c r="D389" s="181"/>
      <c r="E389" s="181"/>
      <c r="F389" s="181"/>
      <c r="G389" s="181"/>
      <c r="H389" s="181"/>
      <c r="I389" s="182"/>
      <c r="J389" s="181"/>
    </row>
    <row r="390" spans="1:10" ht="15.75" customHeight="1">
      <c r="A390" s="180"/>
      <c r="B390" s="181"/>
      <c r="C390" s="181"/>
      <c r="D390" s="181"/>
      <c r="E390" s="181"/>
      <c r="F390" s="181"/>
      <c r="G390" s="181"/>
      <c r="H390" s="181"/>
      <c r="I390" s="182"/>
      <c r="J390" s="181"/>
    </row>
    <row r="391" spans="1:10" ht="15.75" customHeight="1">
      <c r="A391" s="180"/>
      <c r="B391" s="181"/>
      <c r="C391" s="181"/>
      <c r="D391" s="181"/>
      <c r="E391" s="181"/>
      <c r="F391" s="181"/>
      <c r="G391" s="181"/>
      <c r="H391" s="181"/>
      <c r="I391" s="182"/>
      <c r="J391" s="181"/>
    </row>
    <row r="392" spans="1:10" ht="15.75" customHeight="1">
      <c r="A392" s="180"/>
      <c r="B392" s="181"/>
      <c r="C392" s="181"/>
      <c r="D392" s="181"/>
      <c r="E392" s="181"/>
      <c r="F392" s="181"/>
      <c r="G392" s="181"/>
      <c r="H392" s="181"/>
      <c r="I392" s="182"/>
      <c r="J392" s="181"/>
    </row>
    <row r="393" spans="1:10" ht="15.75" customHeight="1">
      <c r="A393" s="180"/>
      <c r="B393" s="181"/>
      <c r="C393" s="181"/>
      <c r="D393" s="181"/>
      <c r="E393" s="181"/>
      <c r="F393" s="181"/>
      <c r="G393" s="181"/>
      <c r="H393" s="181"/>
      <c r="I393" s="182"/>
      <c r="J393" s="181"/>
    </row>
    <row r="394" spans="1:10" ht="15.75" customHeight="1">
      <c r="A394" s="180"/>
      <c r="B394" s="181"/>
      <c r="C394" s="181"/>
      <c r="D394" s="181"/>
      <c r="E394" s="181"/>
      <c r="F394" s="181"/>
      <c r="G394" s="181"/>
      <c r="H394" s="181"/>
      <c r="I394" s="182"/>
      <c r="J394" s="181"/>
    </row>
    <row r="395" spans="1:10" ht="15.75" customHeight="1">
      <c r="A395" s="180"/>
      <c r="B395" s="181"/>
      <c r="C395" s="181"/>
      <c r="D395" s="181"/>
      <c r="E395" s="181"/>
      <c r="F395" s="181"/>
      <c r="G395" s="181"/>
      <c r="H395" s="181"/>
      <c r="I395" s="182"/>
      <c r="J395" s="181"/>
    </row>
    <row r="396" spans="1:10" ht="15.75" customHeight="1">
      <c r="A396" s="180"/>
      <c r="B396" s="181"/>
      <c r="C396" s="181"/>
      <c r="D396" s="181"/>
      <c r="E396" s="181"/>
      <c r="F396" s="181"/>
      <c r="G396" s="181"/>
      <c r="H396" s="181"/>
      <c r="I396" s="182"/>
      <c r="J396" s="181"/>
    </row>
    <row r="397" spans="1:10" ht="15.75" customHeight="1">
      <c r="A397" s="180"/>
      <c r="B397" s="181"/>
      <c r="C397" s="181"/>
      <c r="D397" s="181"/>
      <c r="E397" s="181"/>
      <c r="F397" s="181"/>
      <c r="G397" s="181"/>
      <c r="H397" s="181"/>
      <c r="I397" s="182"/>
      <c r="J397" s="181"/>
    </row>
    <row r="398" spans="1:10" ht="15.75" customHeight="1">
      <c r="A398" s="180"/>
      <c r="B398" s="181"/>
      <c r="C398" s="181"/>
      <c r="D398" s="181"/>
      <c r="E398" s="181"/>
      <c r="F398" s="181"/>
      <c r="G398" s="181"/>
      <c r="H398" s="181"/>
      <c r="I398" s="182"/>
      <c r="J398" s="181"/>
    </row>
    <row r="399" spans="1:10" ht="15.75" customHeight="1">
      <c r="A399" s="180"/>
      <c r="B399" s="181"/>
      <c r="C399" s="181"/>
      <c r="D399" s="181"/>
      <c r="E399" s="181"/>
      <c r="F399" s="181"/>
      <c r="G399" s="181"/>
      <c r="H399" s="181"/>
      <c r="I399" s="182"/>
      <c r="J399" s="181"/>
    </row>
    <row r="400" spans="1:10" ht="15.75" customHeight="1">
      <c r="A400" s="180"/>
      <c r="B400" s="181"/>
      <c r="C400" s="181"/>
      <c r="D400" s="181"/>
      <c r="E400" s="181"/>
      <c r="F400" s="181"/>
      <c r="G400" s="181"/>
      <c r="H400" s="181"/>
      <c r="I400" s="182"/>
      <c r="J400" s="181"/>
    </row>
    <row r="401" spans="1:10" ht="15.75" customHeight="1">
      <c r="A401" s="180"/>
      <c r="B401" s="181"/>
      <c r="C401" s="181"/>
      <c r="D401" s="181"/>
      <c r="E401" s="181"/>
      <c r="F401" s="181"/>
      <c r="G401" s="181"/>
      <c r="H401" s="181"/>
      <c r="I401" s="182"/>
      <c r="J401" s="181"/>
    </row>
    <row r="402" spans="1:10" ht="15.75" customHeight="1">
      <c r="A402" s="180"/>
      <c r="B402" s="181"/>
      <c r="C402" s="181"/>
      <c r="D402" s="181"/>
      <c r="E402" s="181"/>
      <c r="F402" s="181"/>
      <c r="G402" s="181"/>
      <c r="H402" s="181"/>
      <c r="I402" s="182"/>
      <c r="J402" s="181"/>
    </row>
    <row r="403" spans="1:10" ht="15.75" customHeight="1">
      <c r="A403" s="180"/>
      <c r="B403" s="181"/>
      <c r="C403" s="181"/>
      <c r="D403" s="181"/>
      <c r="E403" s="181"/>
      <c r="F403" s="181"/>
      <c r="G403" s="181"/>
      <c r="H403" s="181"/>
      <c r="I403" s="182"/>
      <c r="J403" s="181"/>
    </row>
    <row r="404" spans="1:10" ht="15.75" customHeight="1">
      <c r="A404" s="180"/>
      <c r="B404" s="181"/>
      <c r="C404" s="181"/>
      <c r="D404" s="181"/>
      <c r="E404" s="181"/>
      <c r="F404" s="181"/>
      <c r="G404" s="181"/>
      <c r="H404" s="181"/>
      <c r="I404" s="182"/>
      <c r="J404" s="181"/>
    </row>
    <row r="405" spans="1:10" ht="15.75" customHeight="1">
      <c r="A405" s="180"/>
      <c r="B405" s="181"/>
      <c r="C405" s="181"/>
      <c r="D405" s="181"/>
      <c r="E405" s="181"/>
      <c r="F405" s="181"/>
      <c r="G405" s="181"/>
      <c r="H405" s="181"/>
      <c r="I405" s="182"/>
      <c r="J405" s="181"/>
    </row>
    <row r="406" spans="1:10" ht="15.75" customHeight="1">
      <c r="A406" s="180"/>
      <c r="B406" s="181"/>
      <c r="C406" s="181"/>
      <c r="D406" s="181"/>
      <c r="E406" s="181"/>
      <c r="F406" s="181"/>
      <c r="G406" s="181"/>
      <c r="H406" s="181"/>
      <c r="I406" s="182"/>
      <c r="J406" s="181"/>
    </row>
    <row r="407" spans="1:10" ht="15.75" customHeight="1">
      <c r="A407" s="180"/>
      <c r="B407" s="181"/>
      <c r="C407" s="181"/>
      <c r="D407" s="181"/>
      <c r="E407" s="181"/>
      <c r="F407" s="181"/>
      <c r="G407" s="181"/>
      <c r="H407" s="181"/>
      <c r="I407" s="182"/>
      <c r="J407" s="181"/>
    </row>
    <row r="408" spans="1:10" ht="15.75" customHeight="1">
      <c r="A408" s="180"/>
      <c r="B408" s="181"/>
      <c r="C408" s="181"/>
      <c r="D408" s="181"/>
      <c r="E408" s="181"/>
      <c r="F408" s="181"/>
      <c r="G408" s="181"/>
      <c r="H408" s="181"/>
      <c r="I408" s="182"/>
      <c r="J408" s="181"/>
    </row>
    <row r="409" spans="1:10" ht="15.75" customHeight="1">
      <c r="A409" s="180"/>
      <c r="B409" s="181"/>
      <c r="C409" s="181"/>
      <c r="D409" s="181"/>
      <c r="E409" s="181"/>
      <c r="F409" s="181"/>
      <c r="G409" s="181"/>
      <c r="H409" s="181"/>
      <c r="I409" s="182"/>
      <c r="J409" s="181"/>
    </row>
    <row r="410" spans="1:10" ht="15.75" customHeight="1">
      <c r="A410" s="180"/>
      <c r="B410" s="181"/>
      <c r="C410" s="181"/>
      <c r="D410" s="181"/>
      <c r="E410" s="181"/>
      <c r="F410" s="181"/>
      <c r="G410" s="181"/>
      <c r="H410" s="181"/>
      <c r="I410" s="182"/>
      <c r="J410" s="181"/>
    </row>
    <row r="411" spans="1:10" ht="15.75" customHeight="1">
      <c r="A411" s="180"/>
      <c r="B411" s="181"/>
      <c r="C411" s="181"/>
      <c r="D411" s="181"/>
      <c r="E411" s="181"/>
      <c r="F411" s="181"/>
      <c r="G411" s="181"/>
      <c r="H411" s="181"/>
      <c r="I411" s="182"/>
      <c r="J411" s="181"/>
    </row>
    <row r="412" spans="1:10" ht="15.75" customHeight="1">
      <c r="A412" s="180"/>
      <c r="B412" s="181"/>
      <c r="C412" s="181"/>
      <c r="D412" s="181"/>
      <c r="E412" s="181"/>
      <c r="F412" s="181"/>
      <c r="G412" s="181"/>
      <c r="H412" s="181"/>
      <c r="I412" s="182"/>
      <c r="J412" s="181"/>
    </row>
    <row r="413" spans="1:10" ht="15.75" customHeight="1">
      <c r="A413" s="180"/>
      <c r="B413" s="181"/>
      <c r="C413" s="181"/>
      <c r="D413" s="181"/>
      <c r="E413" s="181"/>
      <c r="F413" s="181"/>
      <c r="G413" s="181"/>
      <c r="H413" s="181"/>
      <c r="I413" s="182"/>
      <c r="J413" s="181"/>
    </row>
    <row r="414" spans="1:10" ht="15.75" customHeight="1">
      <c r="A414" s="180"/>
      <c r="B414" s="181"/>
      <c r="C414" s="181"/>
      <c r="D414" s="181"/>
      <c r="E414" s="181"/>
      <c r="F414" s="181"/>
      <c r="G414" s="181"/>
      <c r="H414" s="181"/>
      <c r="I414" s="182"/>
      <c r="J414" s="181"/>
    </row>
    <row r="415" spans="1:10" ht="15.75" customHeight="1">
      <c r="A415" s="180"/>
      <c r="B415" s="181"/>
      <c r="C415" s="181"/>
      <c r="D415" s="181"/>
      <c r="E415" s="181"/>
      <c r="F415" s="181"/>
      <c r="G415" s="181"/>
      <c r="H415" s="181"/>
      <c r="I415" s="182"/>
      <c r="J415" s="181"/>
    </row>
    <row r="416" spans="1:10" ht="15.75" customHeight="1">
      <c r="A416" s="180"/>
      <c r="B416" s="181"/>
      <c r="C416" s="181"/>
      <c r="D416" s="181"/>
      <c r="E416" s="181"/>
      <c r="F416" s="181"/>
      <c r="G416" s="181"/>
      <c r="H416" s="181"/>
      <c r="I416" s="182"/>
      <c r="J416" s="181"/>
    </row>
    <row r="417" spans="1:10" ht="15.75" customHeight="1">
      <c r="A417" s="180"/>
      <c r="B417" s="181"/>
      <c r="C417" s="181"/>
      <c r="D417" s="181"/>
      <c r="E417" s="181"/>
      <c r="F417" s="181"/>
      <c r="G417" s="181"/>
      <c r="H417" s="181"/>
      <c r="I417" s="182"/>
      <c r="J417" s="181"/>
    </row>
    <row r="418" spans="1:10" ht="15.75" customHeight="1">
      <c r="A418" s="180"/>
      <c r="B418" s="181"/>
      <c r="C418" s="181"/>
      <c r="D418" s="181"/>
      <c r="E418" s="181"/>
      <c r="F418" s="181"/>
      <c r="G418" s="181"/>
      <c r="H418" s="181"/>
      <c r="I418" s="182"/>
      <c r="J418" s="181"/>
    </row>
    <row r="419" spans="1:10" ht="15.75" customHeight="1">
      <c r="A419" s="180"/>
      <c r="B419" s="181"/>
      <c r="C419" s="181"/>
      <c r="D419" s="181"/>
      <c r="E419" s="181"/>
      <c r="F419" s="181"/>
      <c r="G419" s="181"/>
      <c r="H419" s="181"/>
      <c r="I419" s="182"/>
      <c r="J419" s="181"/>
    </row>
    <row r="420" spans="1:10" ht="15.75" customHeight="1">
      <c r="A420" s="180"/>
      <c r="B420" s="181"/>
      <c r="C420" s="181"/>
      <c r="D420" s="181"/>
      <c r="E420" s="181"/>
      <c r="F420" s="181"/>
      <c r="G420" s="181"/>
      <c r="H420" s="181"/>
      <c r="I420" s="182"/>
      <c r="J420" s="181"/>
    </row>
    <row r="421" spans="1:10" ht="15.75" customHeight="1">
      <c r="A421" s="180"/>
      <c r="B421" s="181"/>
      <c r="C421" s="181"/>
      <c r="D421" s="181"/>
      <c r="E421" s="181"/>
      <c r="F421" s="181"/>
      <c r="G421" s="181"/>
      <c r="H421" s="181"/>
      <c r="I421" s="182"/>
      <c r="J421" s="181"/>
    </row>
    <row r="422" spans="1:10" ht="15.75" customHeight="1">
      <c r="A422" s="180"/>
      <c r="B422" s="181"/>
      <c r="C422" s="181"/>
      <c r="D422" s="181"/>
      <c r="E422" s="181"/>
      <c r="F422" s="181"/>
      <c r="G422" s="181"/>
      <c r="H422" s="181"/>
      <c r="I422" s="182"/>
      <c r="J422" s="181"/>
    </row>
    <row r="423" spans="1:10" ht="15.75" customHeight="1">
      <c r="A423" s="180"/>
      <c r="B423" s="181"/>
      <c r="C423" s="181"/>
      <c r="D423" s="181"/>
      <c r="E423" s="181"/>
      <c r="F423" s="181"/>
      <c r="G423" s="181"/>
      <c r="H423" s="181"/>
      <c r="I423" s="182"/>
      <c r="J423" s="181"/>
    </row>
    <row r="424" spans="1:10" ht="15.75" customHeight="1">
      <c r="A424" s="180"/>
      <c r="B424" s="181"/>
      <c r="C424" s="181"/>
      <c r="D424" s="181"/>
      <c r="E424" s="181"/>
      <c r="F424" s="181"/>
      <c r="G424" s="181"/>
      <c r="H424" s="181"/>
      <c r="I424" s="182"/>
      <c r="J424" s="181"/>
    </row>
    <row r="425" spans="1:10" ht="15.75" customHeight="1">
      <c r="A425" s="180"/>
      <c r="B425" s="181"/>
      <c r="C425" s="181"/>
      <c r="D425" s="181"/>
      <c r="E425" s="181"/>
      <c r="F425" s="181"/>
      <c r="G425" s="181"/>
      <c r="H425" s="181"/>
      <c r="I425" s="182"/>
      <c r="J425" s="181"/>
    </row>
    <row r="426" spans="1:10" ht="15.75" customHeight="1">
      <c r="A426" s="180"/>
      <c r="B426" s="181"/>
      <c r="C426" s="181"/>
      <c r="D426" s="181"/>
      <c r="E426" s="181"/>
      <c r="F426" s="181"/>
      <c r="G426" s="181"/>
      <c r="H426" s="181"/>
      <c r="I426" s="182"/>
      <c r="J426" s="181"/>
    </row>
    <row r="427" spans="1:10" ht="15.75" customHeight="1">
      <c r="A427" s="180"/>
      <c r="B427" s="181"/>
      <c r="C427" s="181"/>
      <c r="D427" s="181"/>
      <c r="E427" s="181"/>
      <c r="F427" s="181"/>
      <c r="G427" s="181"/>
      <c r="H427" s="181"/>
      <c r="I427" s="182"/>
      <c r="J427" s="181"/>
    </row>
    <row r="428" spans="1:10" ht="15.75" customHeight="1">
      <c r="A428" s="180"/>
      <c r="B428" s="181"/>
      <c r="C428" s="181"/>
      <c r="D428" s="181"/>
      <c r="E428" s="181"/>
      <c r="F428" s="181"/>
      <c r="G428" s="181"/>
      <c r="H428" s="181"/>
      <c r="I428" s="182"/>
      <c r="J428" s="181"/>
    </row>
    <row r="429" spans="1:10" ht="15.75" customHeight="1">
      <c r="A429" s="180"/>
      <c r="B429" s="181"/>
      <c r="C429" s="181"/>
      <c r="D429" s="181"/>
      <c r="E429" s="181"/>
      <c r="F429" s="181"/>
      <c r="G429" s="181"/>
      <c r="H429" s="181"/>
      <c r="I429" s="182"/>
      <c r="J429" s="181"/>
    </row>
    <row r="430" spans="1:10" ht="15.75" customHeight="1">
      <c r="A430" s="180"/>
      <c r="B430" s="181"/>
      <c r="C430" s="181"/>
      <c r="D430" s="181"/>
      <c r="E430" s="181"/>
      <c r="F430" s="181"/>
      <c r="G430" s="181"/>
      <c r="H430" s="181"/>
      <c r="I430" s="182"/>
      <c r="J430" s="181"/>
    </row>
    <row r="431" spans="1:10" ht="15.75" customHeight="1">
      <c r="A431" s="180"/>
      <c r="B431" s="181"/>
      <c r="C431" s="181"/>
      <c r="D431" s="181"/>
      <c r="E431" s="181"/>
      <c r="F431" s="181"/>
      <c r="G431" s="181"/>
      <c r="H431" s="181"/>
      <c r="I431" s="182"/>
      <c r="J431" s="181"/>
    </row>
    <row r="432" spans="1:10" ht="15.75" customHeight="1">
      <c r="A432" s="180"/>
      <c r="B432" s="181"/>
      <c r="C432" s="181"/>
      <c r="D432" s="181"/>
      <c r="E432" s="181"/>
      <c r="F432" s="181"/>
      <c r="G432" s="181"/>
      <c r="H432" s="181"/>
      <c r="I432" s="182"/>
      <c r="J432" s="181"/>
    </row>
    <row r="433" spans="1:10" ht="15.75" customHeight="1">
      <c r="A433" s="180"/>
      <c r="B433" s="181"/>
      <c r="C433" s="181"/>
      <c r="D433" s="181"/>
      <c r="E433" s="181"/>
      <c r="F433" s="181"/>
      <c r="G433" s="181"/>
      <c r="H433" s="181"/>
      <c r="I433" s="182"/>
      <c r="J433" s="181"/>
    </row>
    <row r="434" spans="1:10" ht="15.75" customHeight="1">
      <c r="A434" s="180"/>
      <c r="B434" s="181"/>
      <c r="C434" s="181"/>
      <c r="D434" s="181"/>
      <c r="E434" s="181"/>
      <c r="F434" s="181"/>
      <c r="G434" s="181"/>
      <c r="H434" s="181"/>
      <c r="I434" s="182"/>
      <c r="J434" s="181"/>
    </row>
    <row r="435" spans="1:10" ht="15.75" customHeight="1">
      <c r="A435" s="180"/>
      <c r="B435" s="181"/>
      <c r="C435" s="181"/>
      <c r="D435" s="181"/>
      <c r="E435" s="181"/>
      <c r="F435" s="181"/>
      <c r="G435" s="181"/>
      <c r="H435" s="181"/>
      <c r="I435" s="182"/>
      <c r="J435" s="181"/>
    </row>
    <row r="436" spans="1:10" ht="15.75" customHeight="1">
      <c r="A436" s="180"/>
      <c r="B436" s="181"/>
      <c r="C436" s="181"/>
      <c r="D436" s="181"/>
      <c r="E436" s="181"/>
      <c r="F436" s="181"/>
      <c r="G436" s="181"/>
      <c r="H436" s="181"/>
      <c r="I436" s="182"/>
      <c r="J436" s="181"/>
    </row>
    <row r="437" spans="1:10" ht="15.75" customHeight="1">
      <c r="A437" s="180"/>
      <c r="B437" s="181"/>
      <c r="C437" s="181"/>
      <c r="D437" s="181"/>
      <c r="E437" s="181"/>
      <c r="F437" s="181"/>
      <c r="G437" s="181"/>
      <c r="H437" s="181"/>
      <c r="I437" s="182"/>
      <c r="J437" s="181"/>
    </row>
    <row r="438" spans="1:10" ht="15.75" customHeight="1">
      <c r="A438" s="180"/>
      <c r="B438" s="181"/>
      <c r="C438" s="181"/>
      <c r="D438" s="181"/>
      <c r="E438" s="181"/>
      <c r="F438" s="181"/>
      <c r="G438" s="181"/>
      <c r="H438" s="181"/>
      <c r="I438" s="182"/>
      <c r="J438" s="181"/>
    </row>
    <row r="439" spans="1:10" ht="15.75" customHeight="1">
      <c r="A439" s="180"/>
      <c r="B439" s="181"/>
      <c r="C439" s="181"/>
      <c r="D439" s="181"/>
      <c r="E439" s="181"/>
      <c r="F439" s="181"/>
      <c r="G439" s="181"/>
      <c r="H439" s="181"/>
      <c r="I439" s="182"/>
      <c r="J439" s="181"/>
    </row>
    <row r="440" spans="1:10" ht="15.75" customHeight="1">
      <c r="A440" s="180"/>
      <c r="B440" s="181"/>
      <c r="C440" s="181"/>
      <c r="D440" s="181"/>
      <c r="E440" s="181"/>
      <c r="F440" s="181"/>
      <c r="G440" s="181"/>
      <c r="H440" s="181"/>
      <c r="I440" s="182"/>
      <c r="J440" s="181"/>
    </row>
    <row r="441" spans="1:10" ht="15.75" customHeight="1">
      <c r="A441" s="180"/>
      <c r="B441" s="181"/>
      <c r="C441" s="181"/>
      <c r="D441" s="181"/>
      <c r="E441" s="181"/>
      <c r="F441" s="181"/>
      <c r="G441" s="181"/>
      <c r="H441" s="181"/>
      <c r="I441" s="182"/>
      <c r="J441" s="181"/>
    </row>
    <row r="442" spans="1:10" ht="15.75" customHeight="1">
      <c r="A442" s="180"/>
      <c r="B442" s="181"/>
      <c r="C442" s="181"/>
      <c r="D442" s="181"/>
      <c r="E442" s="181"/>
      <c r="F442" s="181"/>
      <c r="G442" s="181"/>
      <c r="H442" s="181"/>
      <c r="I442" s="182"/>
      <c r="J442" s="181"/>
    </row>
    <row r="443" spans="1:10" ht="15.75" customHeight="1">
      <c r="A443" s="180"/>
      <c r="B443" s="181"/>
      <c r="C443" s="181"/>
      <c r="D443" s="181"/>
      <c r="E443" s="181"/>
      <c r="F443" s="181"/>
      <c r="G443" s="181"/>
      <c r="H443" s="181"/>
      <c r="I443" s="182"/>
      <c r="J443" s="181"/>
    </row>
    <row r="444" spans="1:10" ht="15.75" customHeight="1">
      <c r="A444" s="180"/>
      <c r="B444" s="181"/>
      <c r="C444" s="181"/>
      <c r="D444" s="181"/>
      <c r="E444" s="181"/>
      <c r="F444" s="181"/>
      <c r="G444" s="181"/>
      <c r="H444" s="181"/>
      <c r="I444" s="182"/>
      <c r="J444" s="181"/>
    </row>
    <row r="445" spans="1:10" ht="15.75" customHeight="1">
      <c r="A445" s="180"/>
      <c r="B445" s="181"/>
      <c r="C445" s="181"/>
      <c r="D445" s="181"/>
      <c r="E445" s="181"/>
      <c r="F445" s="181"/>
      <c r="G445" s="181"/>
      <c r="H445" s="181"/>
      <c r="I445" s="182"/>
      <c r="J445" s="181"/>
    </row>
    <row r="446" spans="1:10" ht="15.75" customHeight="1">
      <c r="A446" s="180"/>
      <c r="B446" s="181"/>
      <c r="C446" s="181"/>
      <c r="D446" s="181"/>
      <c r="E446" s="181"/>
      <c r="F446" s="181"/>
      <c r="G446" s="181"/>
      <c r="H446" s="181"/>
      <c r="I446" s="182"/>
      <c r="J446" s="181"/>
    </row>
    <row r="447" spans="1:10" ht="15.75" customHeight="1">
      <c r="A447" s="180"/>
      <c r="B447" s="181"/>
      <c r="C447" s="181"/>
      <c r="D447" s="181"/>
      <c r="E447" s="181"/>
      <c r="F447" s="181"/>
      <c r="G447" s="181"/>
      <c r="H447" s="181"/>
      <c r="I447" s="182"/>
      <c r="J447" s="181"/>
    </row>
    <row r="448" spans="1:10" ht="15.75" customHeight="1">
      <c r="A448" s="180"/>
      <c r="B448" s="181"/>
      <c r="C448" s="181"/>
      <c r="D448" s="181"/>
      <c r="E448" s="181"/>
      <c r="F448" s="181"/>
      <c r="G448" s="181"/>
      <c r="H448" s="181"/>
      <c r="I448" s="182"/>
      <c r="J448" s="181"/>
    </row>
    <row r="449" spans="1:10" ht="15.75" customHeight="1">
      <c r="A449" s="180"/>
      <c r="B449" s="181"/>
      <c r="C449" s="181"/>
      <c r="D449" s="181"/>
      <c r="E449" s="181"/>
      <c r="F449" s="181"/>
      <c r="G449" s="181"/>
      <c r="H449" s="181"/>
      <c r="I449" s="182"/>
      <c r="J449" s="181"/>
    </row>
    <row r="450" spans="1:10" ht="15.75" customHeight="1">
      <c r="A450" s="180"/>
      <c r="B450" s="181"/>
      <c r="C450" s="181"/>
      <c r="D450" s="181"/>
      <c r="E450" s="181"/>
      <c r="F450" s="181"/>
      <c r="G450" s="181"/>
      <c r="H450" s="181"/>
      <c r="I450" s="182"/>
      <c r="J450" s="181"/>
    </row>
    <row r="451" spans="1:10" ht="15.75" customHeight="1">
      <c r="A451" s="180"/>
      <c r="B451" s="181"/>
      <c r="C451" s="181"/>
      <c r="D451" s="181"/>
      <c r="E451" s="181"/>
      <c r="F451" s="181"/>
      <c r="G451" s="181"/>
      <c r="H451" s="181"/>
      <c r="I451" s="182"/>
      <c r="J451" s="181"/>
    </row>
    <row r="452" spans="1:10" ht="15.75" customHeight="1">
      <c r="A452" s="180"/>
      <c r="B452" s="181"/>
      <c r="C452" s="181"/>
      <c r="D452" s="181"/>
      <c r="E452" s="181"/>
      <c r="F452" s="181"/>
      <c r="G452" s="181"/>
      <c r="H452" s="181"/>
      <c r="I452" s="182"/>
      <c r="J452" s="181"/>
    </row>
    <row r="453" spans="1:10" ht="15.75" customHeight="1">
      <c r="A453" s="180"/>
      <c r="B453" s="181"/>
      <c r="C453" s="181"/>
      <c r="D453" s="181"/>
      <c r="E453" s="181"/>
      <c r="F453" s="181"/>
      <c r="G453" s="181"/>
      <c r="H453" s="181"/>
      <c r="I453" s="182"/>
      <c r="J453" s="181"/>
    </row>
    <row r="454" spans="1:10" ht="15.75" customHeight="1">
      <c r="A454" s="180"/>
      <c r="B454" s="181"/>
      <c r="C454" s="181"/>
      <c r="D454" s="181"/>
      <c r="E454" s="181"/>
      <c r="F454" s="181"/>
      <c r="G454" s="181"/>
      <c r="H454" s="181"/>
      <c r="I454" s="182"/>
      <c r="J454" s="181"/>
    </row>
    <row r="455" spans="1:10" ht="15.75" customHeight="1">
      <c r="A455" s="180"/>
      <c r="B455" s="181"/>
      <c r="C455" s="181"/>
      <c r="D455" s="181"/>
      <c r="E455" s="181"/>
      <c r="F455" s="181"/>
      <c r="G455" s="181"/>
      <c r="H455" s="181"/>
      <c r="I455" s="182"/>
      <c r="J455" s="181"/>
    </row>
    <row r="456" spans="1:10" ht="15.75" customHeight="1">
      <c r="A456" s="180"/>
      <c r="B456" s="181"/>
      <c r="C456" s="181"/>
      <c r="D456" s="181"/>
      <c r="E456" s="181"/>
      <c r="F456" s="181"/>
      <c r="G456" s="181"/>
      <c r="H456" s="181"/>
      <c r="I456" s="182"/>
      <c r="J456" s="181"/>
    </row>
    <row r="457" spans="1:10" ht="15.75" customHeight="1">
      <c r="A457" s="180"/>
      <c r="B457" s="181"/>
      <c r="C457" s="181"/>
      <c r="D457" s="181"/>
      <c r="E457" s="181"/>
      <c r="F457" s="181"/>
      <c r="G457" s="181"/>
      <c r="H457" s="181"/>
      <c r="I457" s="182"/>
      <c r="J457" s="181"/>
    </row>
    <row r="458" spans="1:10" ht="15.75" customHeight="1">
      <c r="A458" s="180"/>
      <c r="B458" s="181"/>
      <c r="C458" s="181"/>
      <c r="D458" s="181"/>
      <c r="E458" s="181"/>
      <c r="F458" s="181"/>
      <c r="G458" s="181"/>
      <c r="H458" s="181"/>
      <c r="I458" s="182"/>
      <c r="J458" s="181"/>
    </row>
    <row r="459" spans="1:10" ht="15.75" customHeight="1">
      <c r="A459" s="180"/>
      <c r="B459" s="181"/>
      <c r="C459" s="181"/>
      <c r="D459" s="181"/>
      <c r="E459" s="181"/>
      <c r="F459" s="181"/>
      <c r="G459" s="181"/>
      <c r="H459" s="181"/>
      <c r="I459" s="182"/>
      <c r="J459" s="181"/>
    </row>
    <row r="460" spans="1:10" ht="15.75" customHeight="1">
      <c r="A460" s="180"/>
      <c r="B460" s="181"/>
      <c r="C460" s="181"/>
      <c r="D460" s="181"/>
      <c r="E460" s="181"/>
      <c r="F460" s="181"/>
      <c r="G460" s="181"/>
      <c r="H460" s="181"/>
      <c r="I460" s="182"/>
      <c r="J460" s="181"/>
    </row>
    <row r="461" spans="1:10" ht="15.75" customHeight="1">
      <c r="A461" s="180"/>
      <c r="B461" s="181"/>
      <c r="C461" s="181"/>
      <c r="D461" s="181"/>
      <c r="E461" s="181"/>
      <c r="F461" s="181"/>
      <c r="G461" s="181"/>
      <c r="H461" s="181"/>
      <c r="I461" s="182"/>
      <c r="J461" s="181"/>
    </row>
    <row r="462" spans="1:10" ht="15.75" customHeight="1">
      <c r="A462" s="180"/>
      <c r="B462" s="181"/>
      <c r="C462" s="181"/>
      <c r="D462" s="181"/>
      <c r="E462" s="181"/>
      <c r="F462" s="181"/>
      <c r="G462" s="181"/>
      <c r="H462" s="181"/>
      <c r="I462" s="182"/>
      <c r="J462" s="181"/>
    </row>
    <row r="463" spans="1:10" ht="15.75" customHeight="1">
      <c r="A463" s="180"/>
      <c r="B463" s="181"/>
      <c r="C463" s="181"/>
      <c r="D463" s="181"/>
      <c r="E463" s="181"/>
      <c r="F463" s="181"/>
      <c r="G463" s="181"/>
      <c r="H463" s="181"/>
      <c r="I463" s="182"/>
      <c r="J463" s="181"/>
    </row>
    <row r="464" spans="1:10" ht="15.75" customHeight="1">
      <c r="A464" s="180"/>
      <c r="B464" s="181"/>
      <c r="C464" s="181"/>
      <c r="D464" s="181"/>
      <c r="E464" s="181"/>
      <c r="F464" s="181"/>
      <c r="G464" s="181"/>
      <c r="H464" s="181"/>
      <c r="I464" s="182"/>
      <c r="J464" s="181"/>
    </row>
    <row r="465" spans="1:10" ht="15.75" customHeight="1">
      <c r="A465" s="180"/>
      <c r="B465" s="181"/>
      <c r="C465" s="181"/>
      <c r="D465" s="181"/>
      <c r="E465" s="181"/>
      <c r="F465" s="181"/>
      <c r="G465" s="181"/>
      <c r="H465" s="181"/>
      <c r="I465" s="182"/>
      <c r="J465" s="181"/>
    </row>
    <row r="466" spans="1:10" ht="15.75" customHeight="1">
      <c r="A466" s="180"/>
      <c r="B466" s="181"/>
      <c r="C466" s="181"/>
      <c r="D466" s="181"/>
      <c r="E466" s="181"/>
      <c r="F466" s="181"/>
      <c r="G466" s="181"/>
      <c r="H466" s="181"/>
      <c r="I466" s="182"/>
      <c r="J466" s="181"/>
    </row>
    <row r="467" spans="1:10" ht="15.75" customHeight="1">
      <c r="A467" s="180"/>
      <c r="B467" s="181"/>
      <c r="C467" s="181"/>
      <c r="D467" s="181"/>
      <c r="E467" s="181"/>
      <c r="F467" s="181"/>
      <c r="G467" s="181"/>
      <c r="H467" s="181"/>
      <c r="I467" s="182"/>
      <c r="J467" s="181"/>
    </row>
    <row r="468" spans="1:10" ht="15.75" customHeight="1">
      <c r="A468" s="180"/>
      <c r="B468" s="181"/>
      <c r="C468" s="181"/>
      <c r="D468" s="181"/>
      <c r="E468" s="181"/>
      <c r="F468" s="181"/>
      <c r="G468" s="181"/>
      <c r="H468" s="181"/>
      <c r="I468" s="182"/>
      <c r="J468" s="181"/>
    </row>
    <row r="469" spans="1:10" ht="15.75" customHeight="1">
      <c r="A469" s="180"/>
      <c r="B469" s="181"/>
      <c r="C469" s="181"/>
      <c r="D469" s="181"/>
      <c r="E469" s="181"/>
      <c r="F469" s="181"/>
      <c r="G469" s="181"/>
      <c r="H469" s="181"/>
      <c r="I469" s="182"/>
      <c r="J469" s="181"/>
    </row>
    <row r="470" spans="1:10" ht="15.75" customHeight="1">
      <c r="A470" s="180"/>
      <c r="B470" s="181"/>
      <c r="C470" s="181"/>
      <c r="D470" s="181"/>
      <c r="E470" s="181"/>
      <c r="F470" s="181"/>
      <c r="G470" s="181"/>
      <c r="H470" s="181"/>
      <c r="I470" s="182"/>
      <c r="J470" s="181"/>
    </row>
    <row r="471" spans="1:10" ht="15.75" customHeight="1">
      <c r="A471" s="180"/>
      <c r="B471" s="181"/>
      <c r="C471" s="181"/>
      <c r="D471" s="181"/>
      <c r="E471" s="181"/>
      <c r="F471" s="181"/>
      <c r="G471" s="181"/>
      <c r="H471" s="181"/>
      <c r="I471" s="182"/>
      <c r="J471" s="181"/>
    </row>
    <row r="472" spans="1:10" ht="15.75" customHeight="1">
      <c r="A472" s="180"/>
      <c r="B472" s="181"/>
      <c r="C472" s="181"/>
      <c r="D472" s="181"/>
      <c r="E472" s="181"/>
      <c r="F472" s="181"/>
      <c r="G472" s="181"/>
      <c r="H472" s="181"/>
      <c r="I472" s="182"/>
      <c r="J472" s="181"/>
    </row>
    <row r="473" spans="1:10" ht="15.75" customHeight="1">
      <c r="A473" s="180"/>
      <c r="B473" s="181"/>
      <c r="C473" s="181"/>
      <c r="D473" s="181"/>
      <c r="E473" s="181"/>
      <c r="F473" s="181"/>
      <c r="G473" s="181"/>
      <c r="H473" s="181"/>
      <c r="I473" s="182"/>
      <c r="J473" s="181"/>
    </row>
    <row r="474" spans="1:10" ht="15.75" customHeight="1">
      <c r="A474" s="180"/>
      <c r="B474" s="181"/>
      <c r="C474" s="181"/>
      <c r="D474" s="181"/>
      <c r="E474" s="181"/>
      <c r="F474" s="181"/>
      <c r="G474" s="181"/>
      <c r="H474" s="181"/>
      <c r="I474" s="182"/>
      <c r="J474" s="181"/>
    </row>
    <row r="475" spans="1:10" ht="15.75" customHeight="1">
      <c r="A475" s="180"/>
      <c r="B475" s="181"/>
      <c r="C475" s="181"/>
      <c r="D475" s="181"/>
      <c r="E475" s="181"/>
      <c r="F475" s="181"/>
      <c r="G475" s="181"/>
      <c r="H475" s="181"/>
      <c r="I475" s="182"/>
      <c r="J475" s="181"/>
    </row>
    <row r="476" spans="1:10" ht="15.75" customHeight="1">
      <c r="A476" s="180"/>
      <c r="B476" s="181"/>
      <c r="C476" s="181"/>
      <c r="D476" s="181"/>
      <c r="E476" s="181"/>
      <c r="F476" s="181"/>
      <c r="G476" s="181"/>
      <c r="H476" s="181"/>
      <c r="I476" s="182"/>
      <c r="J476" s="181"/>
    </row>
    <row r="477" spans="1:10" ht="15.75" customHeight="1">
      <c r="A477" s="180"/>
      <c r="B477" s="181"/>
      <c r="C477" s="181"/>
      <c r="D477" s="181"/>
      <c r="E477" s="181"/>
      <c r="F477" s="181"/>
      <c r="G477" s="181"/>
      <c r="H477" s="181"/>
      <c r="I477" s="182"/>
      <c r="J477" s="181"/>
    </row>
    <row r="478" spans="1:10" ht="15.75" customHeight="1">
      <c r="A478" s="180"/>
      <c r="B478" s="181"/>
      <c r="C478" s="181"/>
      <c r="D478" s="181"/>
      <c r="E478" s="181"/>
      <c r="F478" s="181"/>
      <c r="G478" s="181"/>
      <c r="H478" s="181"/>
      <c r="I478" s="182"/>
      <c r="J478" s="181"/>
    </row>
    <row r="479" spans="1:10" ht="15.75" customHeight="1">
      <c r="A479" s="180"/>
      <c r="B479" s="181"/>
      <c r="C479" s="181"/>
      <c r="D479" s="181"/>
      <c r="E479" s="181"/>
      <c r="F479" s="181"/>
      <c r="G479" s="181"/>
      <c r="H479" s="181"/>
      <c r="I479" s="182"/>
      <c r="J479" s="181"/>
    </row>
    <row r="480" spans="1:10" ht="15.75" customHeight="1">
      <c r="A480" s="180"/>
      <c r="B480" s="181"/>
      <c r="C480" s="181"/>
      <c r="D480" s="181"/>
      <c r="E480" s="181"/>
      <c r="F480" s="181"/>
      <c r="G480" s="181"/>
      <c r="H480" s="181"/>
      <c r="I480" s="182"/>
      <c r="J480" s="181"/>
    </row>
    <row r="481" spans="1:10" ht="15.75" customHeight="1">
      <c r="A481" s="180"/>
      <c r="B481" s="181"/>
      <c r="C481" s="181"/>
      <c r="D481" s="181"/>
      <c r="E481" s="181"/>
      <c r="F481" s="181"/>
      <c r="G481" s="181"/>
      <c r="H481" s="181"/>
      <c r="I481" s="182"/>
      <c r="J481" s="181"/>
    </row>
    <row r="482" spans="1:10" ht="15.75" customHeight="1">
      <c r="A482" s="180"/>
      <c r="B482" s="181"/>
      <c r="C482" s="181"/>
      <c r="D482" s="181"/>
      <c r="E482" s="181"/>
      <c r="F482" s="181"/>
      <c r="G482" s="181"/>
      <c r="H482" s="181"/>
      <c r="I482" s="182"/>
      <c r="J482" s="181"/>
    </row>
    <row r="483" spans="1:10" ht="15.75" customHeight="1">
      <c r="A483" s="180"/>
      <c r="B483" s="181"/>
      <c r="C483" s="181"/>
      <c r="D483" s="181"/>
      <c r="E483" s="181"/>
      <c r="F483" s="181"/>
      <c r="G483" s="181"/>
      <c r="H483" s="181"/>
      <c r="I483" s="182"/>
      <c r="J483" s="181"/>
    </row>
    <row r="484" spans="1:10" ht="15.75" customHeight="1">
      <c r="A484" s="180"/>
      <c r="B484" s="181"/>
      <c r="C484" s="181"/>
      <c r="D484" s="181"/>
      <c r="E484" s="181"/>
      <c r="F484" s="181"/>
      <c r="G484" s="181"/>
      <c r="H484" s="181"/>
      <c r="I484" s="182"/>
      <c r="J484" s="181"/>
    </row>
    <row r="485" spans="1:10" ht="15.75" customHeight="1">
      <c r="A485" s="180"/>
      <c r="B485" s="181"/>
      <c r="C485" s="181"/>
      <c r="D485" s="181"/>
      <c r="E485" s="181"/>
      <c r="F485" s="181"/>
      <c r="G485" s="181"/>
      <c r="H485" s="181"/>
      <c r="I485" s="182"/>
      <c r="J485" s="181"/>
    </row>
    <row r="486" spans="1:10" ht="15.75" customHeight="1">
      <c r="A486" s="180"/>
      <c r="B486" s="181"/>
      <c r="C486" s="181"/>
      <c r="D486" s="181"/>
      <c r="E486" s="181"/>
      <c r="F486" s="181"/>
      <c r="G486" s="181"/>
      <c r="H486" s="181"/>
      <c r="I486" s="182"/>
      <c r="J486" s="181"/>
    </row>
    <row r="487" spans="1:10" ht="15.75" customHeight="1">
      <c r="A487" s="180"/>
      <c r="B487" s="181"/>
      <c r="C487" s="181"/>
      <c r="D487" s="181"/>
      <c r="E487" s="181"/>
      <c r="F487" s="181"/>
      <c r="G487" s="181"/>
      <c r="H487" s="181"/>
      <c r="I487" s="182"/>
      <c r="J487" s="181"/>
    </row>
    <row r="488" spans="1:10" ht="15.75" customHeight="1">
      <c r="A488" s="180"/>
      <c r="B488" s="181"/>
      <c r="C488" s="181"/>
      <c r="D488" s="181"/>
      <c r="E488" s="181"/>
      <c r="F488" s="181"/>
      <c r="G488" s="181"/>
      <c r="H488" s="181"/>
      <c r="I488" s="182"/>
      <c r="J488" s="181"/>
    </row>
    <row r="489" spans="1:10" ht="15.75" customHeight="1">
      <c r="A489" s="180"/>
      <c r="B489" s="181"/>
      <c r="C489" s="181"/>
      <c r="D489" s="181"/>
      <c r="E489" s="181"/>
      <c r="F489" s="181"/>
      <c r="G489" s="181"/>
      <c r="H489" s="181"/>
      <c r="I489" s="182"/>
      <c r="J489" s="181"/>
    </row>
    <row r="490" spans="1:10" ht="15.75" customHeight="1">
      <c r="A490" s="180"/>
      <c r="B490" s="181"/>
      <c r="C490" s="181"/>
      <c r="D490" s="181"/>
      <c r="E490" s="181"/>
      <c r="F490" s="181"/>
      <c r="G490" s="181"/>
      <c r="H490" s="181"/>
      <c r="I490" s="182"/>
      <c r="J490" s="181"/>
    </row>
    <row r="491" spans="1:10" ht="15.75" customHeight="1">
      <c r="A491" s="180"/>
      <c r="B491" s="181"/>
      <c r="C491" s="181"/>
      <c r="D491" s="181"/>
      <c r="E491" s="181"/>
      <c r="F491" s="181"/>
      <c r="G491" s="181"/>
      <c r="H491" s="181"/>
      <c r="I491" s="182"/>
      <c r="J491" s="181"/>
    </row>
    <row r="492" spans="1:10" ht="15.75" customHeight="1">
      <c r="A492" s="180"/>
      <c r="B492" s="181"/>
      <c r="C492" s="181"/>
      <c r="D492" s="181"/>
      <c r="E492" s="181"/>
      <c r="F492" s="181"/>
      <c r="G492" s="181"/>
      <c r="H492" s="181"/>
      <c r="I492" s="182"/>
      <c r="J492" s="181"/>
    </row>
    <row r="493" spans="1:10" ht="15.75" customHeight="1">
      <c r="A493" s="180"/>
      <c r="B493" s="181"/>
      <c r="C493" s="181"/>
      <c r="D493" s="181"/>
      <c r="E493" s="181"/>
      <c r="F493" s="181"/>
      <c r="G493" s="181"/>
      <c r="H493" s="181"/>
      <c r="I493" s="182"/>
      <c r="J493" s="181"/>
    </row>
    <row r="494" spans="1:10" ht="15.75" customHeight="1">
      <c r="A494" s="180"/>
      <c r="B494" s="181"/>
      <c r="C494" s="181"/>
      <c r="D494" s="181"/>
      <c r="E494" s="181"/>
      <c r="F494" s="181"/>
      <c r="G494" s="181"/>
      <c r="H494" s="181"/>
      <c r="I494" s="182"/>
      <c r="J494" s="181"/>
    </row>
    <row r="495" spans="1:10" ht="15.75" customHeight="1">
      <c r="A495" s="180"/>
      <c r="B495" s="181"/>
      <c r="C495" s="181"/>
      <c r="D495" s="181"/>
      <c r="E495" s="181"/>
      <c r="F495" s="181"/>
      <c r="G495" s="181"/>
      <c r="H495" s="181"/>
      <c r="I495" s="182"/>
      <c r="J495" s="181"/>
    </row>
    <row r="496" spans="1:10" ht="15.75" customHeight="1">
      <c r="A496" s="180"/>
      <c r="B496" s="181"/>
      <c r="C496" s="181"/>
      <c r="D496" s="181"/>
      <c r="E496" s="181"/>
      <c r="F496" s="181"/>
      <c r="G496" s="181"/>
      <c r="H496" s="181"/>
      <c r="I496" s="182"/>
      <c r="J496" s="181"/>
    </row>
    <row r="497" spans="1:10" ht="15.75" customHeight="1">
      <c r="A497" s="180"/>
      <c r="B497" s="181"/>
      <c r="C497" s="181"/>
      <c r="D497" s="181"/>
      <c r="E497" s="181"/>
      <c r="F497" s="181"/>
      <c r="G497" s="181"/>
      <c r="H497" s="181"/>
      <c r="I497" s="182"/>
      <c r="J497" s="181"/>
    </row>
    <row r="498" spans="1:10" ht="15.75" customHeight="1">
      <c r="A498" s="180"/>
      <c r="B498" s="181"/>
      <c r="C498" s="181"/>
      <c r="D498" s="181"/>
      <c r="E498" s="181"/>
      <c r="F498" s="181"/>
      <c r="G498" s="181"/>
      <c r="H498" s="181"/>
      <c r="I498" s="182"/>
      <c r="J498" s="181"/>
    </row>
    <row r="499" spans="1:10" ht="15.75" customHeight="1">
      <c r="A499" s="180"/>
      <c r="B499" s="181"/>
      <c r="C499" s="181"/>
      <c r="D499" s="181"/>
      <c r="E499" s="181"/>
      <c r="F499" s="181"/>
      <c r="G499" s="181"/>
      <c r="H499" s="181"/>
      <c r="I499" s="182"/>
      <c r="J499" s="181"/>
    </row>
    <row r="500" spans="1:10" ht="15.75" customHeight="1">
      <c r="A500" s="180"/>
      <c r="B500" s="181"/>
      <c r="C500" s="181"/>
      <c r="D500" s="181"/>
      <c r="E500" s="181"/>
      <c r="F500" s="181"/>
      <c r="G500" s="181"/>
      <c r="H500" s="181"/>
      <c r="I500" s="182"/>
      <c r="J500" s="181"/>
    </row>
    <row r="501" spans="1:10" ht="15.75" customHeight="1">
      <c r="A501" s="180"/>
      <c r="B501" s="181"/>
      <c r="C501" s="181"/>
      <c r="D501" s="181"/>
      <c r="E501" s="181"/>
      <c r="F501" s="181"/>
      <c r="G501" s="181"/>
      <c r="H501" s="181"/>
      <c r="I501" s="182"/>
      <c r="J501" s="181"/>
    </row>
    <row r="502" spans="1:10" ht="15.75" customHeight="1">
      <c r="A502" s="180"/>
      <c r="B502" s="181"/>
      <c r="C502" s="181"/>
      <c r="D502" s="181"/>
      <c r="E502" s="181"/>
      <c r="F502" s="181"/>
      <c r="G502" s="181"/>
      <c r="H502" s="181"/>
      <c r="I502" s="182"/>
      <c r="J502" s="181"/>
    </row>
    <row r="503" spans="1:10" ht="15.75" customHeight="1">
      <c r="A503" s="180"/>
      <c r="B503" s="181"/>
      <c r="C503" s="181"/>
      <c r="D503" s="181"/>
      <c r="E503" s="181"/>
      <c r="F503" s="181"/>
      <c r="G503" s="181"/>
      <c r="H503" s="181"/>
      <c r="I503" s="182"/>
      <c r="J503" s="181"/>
    </row>
    <row r="504" spans="1:10" ht="15.75" customHeight="1">
      <c r="A504" s="180"/>
      <c r="B504" s="181"/>
      <c r="C504" s="181"/>
      <c r="D504" s="181"/>
      <c r="E504" s="181"/>
      <c r="F504" s="181"/>
      <c r="G504" s="181"/>
      <c r="H504" s="181"/>
      <c r="I504" s="182"/>
      <c r="J504" s="181"/>
    </row>
    <row r="505" spans="1:10" ht="15.75" customHeight="1">
      <c r="A505" s="180"/>
      <c r="B505" s="181"/>
      <c r="C505" s="181"/>
      <c r="D505" s="181"/>
      <c r="E505" s="181"/>
      <c r="F505" s="181"/>
      <c r="G505" s="181"/>
      <c r="H505" s="181"/>
      <c r="I505" s="182"/>
      <c r="J505" s="181"/>
    </row>
    <row r="506" spans="1:10" ht="15.75" customHeight="1">
      <c r="A506" s="180"/>
      <c r="B506" s="181"/>
      <c r="C506" s="181"/>
      <c r="D506" s="181"/>
      <c r="E506" s="181"/>
      <c r="F506" s="181"/>
      <c r="G506" s="181"/>
      <c r="H506" s="181"/>
      <c r="I506" s="182"/>
      <c r="J506" s="181"/>
    </row>
    <row r="507" spans="1:10" ht="15.75" customHeight="1">
      <c r="A507" s="180"/>
      <c r="B507" s="181"/>
      <c r="C507" s="181"/>
      <c r="D507" s="181"/>
      <c r="E507" s="181"/>
      <c r="F507" s="181"/>
      <c r="G507" s="181"/>
      <c r="H507" s="181"/>
      <c r="I507" s="182"/>
      <c r="J507" s="181"/>
    </row>
    <row r="508" spans="1:10" ht="15.75" customHeight="1">
      <c r="A508" s="180"/>
      <c r="B508" s="181"/>
      <c r="C508" s="181"/>
      <c r="D508" s="181"/>
      <c r="E508" s="181"/>
      <c r="F508" s="181"/>
      <c r="G508" s="181"/>
      <c r="H508" s="181"/>
      <c r="I508" s="182"/>
      <c r="J508" s="181"/>
    </row>
    <row r="509" spans="1:10" ht="15.75" customHeight="1">
      <c r="A509" s="180"/>
      <c r="B509" s="181"/>
      <c r="C509" s="181"/>
      <c r="D509" s="181"/>
      <c r="E509" s="181"/>
      <c r="F509" s="181"/>
      <c r="G509" s="181"/>
      <c r="H509" s="181"/>
      <c r="I509" s="182"/>
      <c r="J509" s="181"/>
    </row>
    <row r="510" spans="1:10" ht="15.75" customHeight="1">
      <c r="A510" s="180"/>
      <c r="B510" s="181"/>
      <c r="C510" s="181"/>
      <c r="D510" s="181"/>
      <c r="E510" s="181"/>
      <c r="F510" s="181"/>
      <c r="G510" s="181"/>
      <c r="H510" s="181"/>
      <c r="I510" s="182"/>
      <c r="J510" s="181"/>
    </row>
    <row r="511" spans="1:10" ht="15.75" customHeight="1">
      <c r="A511" s="180"/>
      <c r="B511" s="181"/>
      <c r="C511" s="181"/>
      <c r="D511" s="181"/>
      <c r="E511" s="181"/>
      <c r="F511" s="181"/>
      <c r="G511" s="181"/>
      <c r="H511" s="181"/>
      <c r="I511" s="182"/>
      <c r="J511" s="181"/>
    </row>
    <row r="512" spans="1:10" ht="15.75" customHeight="1">
      <c r="A512" s="180"/>
      <c r="B512" s="181"/>
      <c r="C512" s="181"/>
      <c r="D512" s="181"/>
      <c r="E512" s="181"/>
      <c r="F512" s="181"/>
      <c r="G512" s="181"/>
      <c r="H512" s="181"/>
      <c r="I512" s="182"/>
      <c r="J512" s="181"/>
    </row>
    <row r="513" spans="1:10" ht="15.75" customHeight="1">
      <c r="A513" s="180"/>
      <c r="B513" s="181"/>
      <c r="C513" s="181"/>
      <c r="D513" s="181"/>
      <c r="E513" s="181"/>
      <c r="F513" s="181"/>
      <c r="G513" s="181"/>
      <c r="H513" s="181"/>
      <c r="I513" s="182"/>
      <c r="J513" s="181"/>
    </row>
    <row r="514" spans="1:10" ht="15.75" customHeight="1">
      <c r="A514" s="180"/>
      <c r="B514" s="181"/>
      <c r="C514" s="181"/>
      <c r="D514" s="181"/>
      <c r="E514" s="181"/>
      <c r="F514" s="181"/>
      <c r="G514" s="181"/>
      <c r="H514" s="181"/>
      <c r="I514" s="182"/>
      <c r="J514" s="181"/>
    </row>
    <row r="515" spans="1:10" ht="15.75" customHeight="1">
      <c r="A515" s="180"/>
      <c r="B515" s="181"/>
      <c r="C515" s="181"/>
      <c r="D515" s="181"/>
      <c r="E515" s="181"/>
      <c r="F515" s="181"/>
      <c r="G515" s="181"/>
      <c r="H515" s="181"/>
      <c r="I515" s="182"/>
      <c r="J515" s="181"/>
    </row>
    <row r="516" spans="1:10" ht="15.75" customHeight="1">
      <c r="A516" s="180"/>
      <c r="B516" s="181"/>
      <c r="C516" s="181"/>
      <c r="D516" s="181"/>
      <c r="E516" s="181"/>
      <c r="F516" s="181"/>
      <c r="G516" s="181"/>
      <c r="H516" s="181"/>
      <c r="I516" s="182"/>
      <c r="J516" s="181"/>
    </row>
    <row r="517" spans="1:10" ht="15.75" customHeight="1">
      <c r="A517" s="180"/>
      <c r="B517" s="181"/>
      <c r="C517" s="181"/>
      <c r="D517" s="181"/>
      <c r="E517" s="181"/>
      <c r="F517" s="181"/>
      <c r="G517" s="181"/>
      <c r="H517" s="181"/>
      <c r="I517" s="182"/>
      <c r="J517" s="181"/>
    </row>
    <row r="518" spans="1:10" ht="15.75" customHeight="1">
      <c r="A518" s="180"/>
      <c r="B518" s="181"/>
      <c r="C518" s="181"/>
      <c r="D518" s="181"/>
      <c r="E518" s="181"/>
      <c r="F518" s="181"/>
      <c r="G518" s="181"/>
      <c r="H518" s="181"/>
      <c r="I518" s="182"/>
      <c r="J518" s="181"/>
    </row>
    <row r="519" spans="1:10" ht="15.75" customHeight="1">
      <c r="A519" s="180"/>
      <c r="B519" s="181"/>
      <c r="C519" s="181"/>
      <c r="D519" s="181"/>
      <c r="E519" s="181"/>
      <c r="F519" s="181"/>
      <c r="G519" s="181"/>
      <c r="H519" s="181"/>
      <c r="I519" s="182"/>
      <c r="J519" s="181"/>
    </row>
    <row r="520" spans="1:10" ht="15.75" customHeight="1">
      <c r="A520" s="180"/>
      <c r="B520" s="181"/>
      <c r="C520" s="181"/>
      <c r="D520" s="181"/>
      <c r="E520" s="181"/>
      <c r="F520" s="181"/>
      <c r="G520" s="181"/>
      <c r="H520" s="181"/>
      <c r="I520" s="182"/>
      <c r="J520" s="181"/>
    </row>
    <row r="521" spans="1:10" ht="15.75" customHeight="1">
      <c r="A521" s="180"/>
      <c r="B521" s="181"/>
      <c r="C521" s="181"/>
      <c r="D521" s="181"/>
      <c r="E521" s="181"/>
      <c r="F521" s="181"/>
      <c r="G521" s="181"/>
      <c r="H521" s="181"/>
      <c r="I521" s="182"/>
      <c r="J521" s="181"/>
    </row>
    <row r="522" spans="1:10" ht="15.75" customHeight="1">
      <c r="A522" s="180"/>
      <c r="B522" s="181"/>
      <c r="C522" s="181"/>
      <c r="D522" s="181"/>
      <c r="E522" s="181"/>
      <c r="F522" s="181"/>
      <c r="G522" s="181"/>
      <c r="H522" s="181"/>
      <c r="I522" s="182"/>
      <c r="J522" s="181"/>
    </row>
    <row r="523" spans="1:10" ht="15.75" customHeight="1">
      <c r="A523" s="180"/>
      <c r="B523" s="181"/>
      <c r="C523" s="181"/>
      <c r="D523" s="181"/>
      <c r="E523" s="181"/>
      <c r="F523" s="181"/>
      <c r="G523" s="181"/>
      <c r="H523" s="181"/>
      <c r="I523" s="182"/>
      <c r="J523" s="181"/>
    </row>
    <row r="524" spans="1:10" ht="15.75" customHeight="1">
      <c r="A524" s="180"/>
      <c r="B524" s="181"/>
      <c r="C524" s="181"/>
      <c r="D524" s="181"/>
      <c r="E524" s="181"/>
      <c r="F524" s="181"/>
      <c r="G524" s="181"/>
      <c r="H524" s="181"/>
      <c r="I524" s="182"/>
      <c r="J524" s="181"/>
    </row>
    <row r="525" spans="1:10" ht="15.75" customHeight="1">
      <c r="A525" s="180"/>
      <c r="B525" s="181"/>
      <c r="C525" s="181"/>
      <c r="D525" s="181"/>
      <c r="E525" s="181"/>
      <c r="F525" s="181"/>
      <c r="G525" s="181"/>
      <c r="H525" s="181"/>
      <c r="I525" s="182"/>
      <c r="J525" s="181"/>
    </row>
    <row r="526" spans="1:10" ht="15.75" customHeight="1">
      <c r="A526" s="180"/>
      <c r="B526" s="181"/>
      <c r="C526" s="181"/>
      <c r="D526" s="181"/>
      <c r="E526" s="181"/>
      <c r="F526" s="181"/>
      <c r="G526" s="181"/>
      <c r="H526" s="181"/>
      <c r="I526" s="182"/>
      <c r="J526" s="181"/>
    </row>
    <row r="527" spans="1:10" ht="15.75" customHeight="1">
      <c r="A527" s="180"/>
      <c r="B527" s="181"/>
      <c r="C527" s="181"/>
      <c r="D527" s="181"/>
      <c r="E527" s="181"/>
      <c r="F527" s="181"/>
      <c r="G527" s="181"/>
      <c r="H527" s="181"/>
      <c r="I527" s="182"/>
      <c r="J527" s="181"/>
    </row>
    <row r="528" spans="1:10" ht="15.75" customHeight="1">
      <c r="A528" s="180"/>
      <c r="B528" s="181"/>
      <c r="C528" s="181"/>
      <c r="D528" s="181"/>
      <c r="E528" s="181"/>
      <c r="F528" s="181"/>
      <c r="G528" s="181"/>
      <c r="H528" s="181"/>
      <c r="I528" s="182"/>
      <c r="J528" s="181"/>
    </row>
    <row r="529" spans="1:10" ht="15.75" customHeight="1">
      <c r="A529" s="180"/>
      <c r="B529" s="181"/>
      <c r="C529" s="181"/>
      <c r="D529" s="181"/>
      <c r="E529" s="181"/>
      <c r="F529" s="181"/>
      <c r="G529" s="181"/>
      <c r="H529" s="181"/>
      <c r="I529" s="182"/>
      <c r="J529" s="181"/>
    </row>
    <row r="530" spans="1:10" ht="15.75" customHeight="1">
      <c r="A530" s="180"/>
      <c r="B530" s="181"/>
      <c r="C530" s="181"/>
      <c r="D530" s="181"/>
      <c r="E530" s="181"/>
      <c r="F530" s="181"/>
      <c r="G530" s="181"/>
      <c r="H530" s="181"/>
      <c r="I530" s="182"/>
      <c r="J530" s="181"/>
    </row>
    <row r="531" spans="1:10" ht="15.75" customHeight="1">
      <c r="A531" s="180"/>
      <c r="B531" s="181"/>
      <c r="C531" s="181"/>
      <c r="D531" s="181"/>
      <c r="E531" s="181"/>
      <c r="F531" s="181"/>
      <c r="G531" s="181"/>
      <c r="H531" s="181"/>
      <c r="I531" s="182"/>
      <c r="J531" s="181"/>
    </row>
    <row r="532" spans="1:10" ht="15.75" customHeight="1">
      <c r="A532" s="180"/>
      <c r="B532" s="181"/>
      <c r="C532" s="181"/>
      <c r="D532" s="181"/>
      <c r="E532" s="181"/>
      <c r="F532" s="181"/>
      <c r="G532" s="181"/>
      <c r="H532" s="181"/>
      <c r="I532" s="182"/>
      <c r="J532" s="181"/>
    </row>
    <row r="533" spans="1:10" ht="15.75" customHeight="1">
      <c r="A533" s="180"/>
      <c r="B533" s="181"/>
      <c r="C533" s="181"/>
      <c r="D533" s="181"/>
      <c r="E533" s="181"/>
      <c r="F533" s="181"/>
      <c r="G533" s="181"/>
      <c r="H533" s="181"/>
      <c r="I533" s="182"/>
      <c r="J533" s="181"/>
    </row>
    <row r="534" spans="1:10" ht="15.75" customHeight="1">
      <c r="A534" s="180"/>
      <c r="B534" s="181"/>
      <c r="C534" s="181"/>
      <c r="D534" s="181"/>
      <c r="E534" s="181"/>
      <c r="F534" s="181"/>
      <c r="G534" s="181"/>
      <c r="H534" s="181"/>
      <c r="I534" s="182"/>
      <c r="J534" s="181"/>
    </row>
    <row r="535" spans="1:10" ht="15.75" customHeight="1">
      <c r="A535" s="180"/>
      <c r="B535" s="181"/>
      <c r="C535" s="181"/>
      <c r="D535" s="181"/>
      <c r="E535" s="181"/>
      <c r="F535" s="181"/>
      <c r="G535" s="181"/>
      <c r="H535" s="181"/>
      <c r="I535" s="182"/>
      <c r="J535" s="181"/>
    </row>
    <row r="536" spans="1:10" ht="15.75" customHeight="1">
      <c r="A536" s="180"/>
      <c r="B536" s="181"/>
      <c r="C536" s="181"/>
      <c r="D536" s="181"/>
      <c r="E536" s="181"/>
      <c r="F536" s="181"/>
      <c r="G536" s="181"/>
      <c r="H536" s="181"/>
      <c r="I536" s="182"/>
      <c r="J536" s="181"/>
    </row>
    <row r="537" spans="1:10" ht="15.75" customHeight="1">
      <c r="A537" s="180"/>
      <c r="B537" s="181"/>
      <c r="C537" s="181"/>
      <c r="D537" s="181"/>
      <c r="E537" s="181"/>
      <c r="F537" s="181"/>
      <c r="G537" s="181"/>
      <c r="H537" s="181"/>
      <c r="I537" s="182"/>
      <c r="J537" s="181"/>
    </row>
    <row r="538" spans="1:10" ht="15.75" customHeight="1">
      <c r="A538" s="180"/>
      <c r="B538" s="181"/>
      <c r="C538" s="181"/>
      <c r="D538" s="181"/>
      <c r="E538" s="181"/>
      <c r="F538" s="181"/>
      <c r="G538" s="181"/>
      <c r="H538" s="181"/>
      <c r="I538" s="182"/>
      <c r="J538" s="181"/>
    </row>
    <row r="539" spans="1:10" ht="15.75" customHeight="1">
      <c r="A539" s="180"/>
      <c r="B539" s="181"/>
      <c r="C539" s="181"/>
      <c r="D539" s="181"/>
      <c r="E539" s="181"/>
      <c r="F539" s="181"/>
      <c r="G539" s="181"/>
      <c r="H539" s="181"/>
      <c r="I539" s="182"/>
      <c r="J539" s="181"/>
    </row>
    <row r="540" spans="1:10" ht="15.75" customHeight="1">
      <c r="A540" s="180"/>
      <c r="B540" s="181"/>
      <c r="C540" s="181"/>
      <c r="D540" s="181"/>
      <c r="E540" s="181"/>
      <c r="F540" s="181"/>
      <c r="G540" s="181"/>
      <c r="H540" s="181"/>
      <c r="I540" s="182"/>
      <c r="J540" s="181"/>
    </row>
    <row r="541" spans="1:10" ht="15.75" customHeight="1">
      <c r="A541" s="180"/>
      <c r="B541" s="181"/>
      <c r="C541" s="181"/>
      <c r="D541" s="181"/>
      <c r="E541" s="181"/>
      <c r="F541" s="181"/>
      <c r="G541" s="181"/>
      <c r="H541" s="181"/>
      <c r="I541" s="182"/>
      <c r="J541" s="181"/>
    </row>
    <row r="542" spans="1:10" ht="15.75" customHeight="1">
      <c r="A542" s="180"/>
      <c r="B542" s="181"/>
      <c r="C542" s="181"/>
      <c r="D542" s="181"/>
      <c r="E542" s="181"/>
      <c r="F542" s="181"/>
      <c r="G542" s="181"/>
      <c r="H542" s="181"/>
      <c r="I542" s="182"/>
      <c r="J542" s="181"/>
    </row>
    <row r="543" spans="1:10" ht="15.75" customHeight="1">
      <c r="A543" s="180"/>
      <c r="B543" s="181"/>
      <c r="C543" s="181"/>
      <c r="D543" s="181"/>
      <c r="E543" s="181"/>
      <c r="F543" s="181"/>
      <c r="G543" s="181"/>
      <c r="H543" s="181"/>
      <c r="I543" s="182"/>
      <c r="J543" s="181"/>
    </row>
    <row r="544" spans="1:10" ht="15.75" customHeight="1">
      <c r="A544" s="180"/>
      <c r="B544" s="181"/>
      <c r="C544" s="181"/>
      <c r="D544" s="181"/>
      <c r="E544" s="181"/>
      <c r="F544" s="181"/>
      <c r="G544" s="181"/>
      <c r="H544" s="181"/>
      <c r="I544" s="182"/>
      <c r="J544" s="181"/>
    </row>
    <row r="545" spans="1:10" ht="15.75" customHeight="1">
      <c r="A545" s="180"/>
      <c r="B545" s="181"/>
      <c r="C545" s="181"/>
      <c r="D545" s="181"/>
      <c r="E545" s="181"/>
      <c r="F545" s="181"/>
      <c r="G545" s="181"/>
      <c r="H545" s="181"/>
      <c r="I545" s="182"/>
      <c r="J545" s="181"/>
    </row>
    <row r="546" spans="1:10" ht="15.75" customHeight="1">
      <c r="A546" s="180"/>
      <c r="B546" s="181"/>
      <c r="C546" s="181"/>
      <c r="D546" s="181"/>
      <c r="E546" s="181"/>
      <c r="F546" s="181"/>
      <c r="G546" s="181"/>
      <c r="H546" s="181"/>
      <c r="I546" s="182"/>
      <c r="J546" s="181"/>
    </row>
    <row r="547" spans="1:10" ht="15.75" customHeight="1">
      <c r="A547" s="180"/>
      <c r="B547" s="181"/>
      <c r="C547" s="181"/>
      <c r="D547" s="181"/>
      <c r="E547" s="181"/>
      <c r="F547" s="181"/>
      <c r="G547" s="181"/>
      <c r="H547" s="181"/>
      <c r="I547" s="182"/>
      <c r="J547" s="181"/>
    </row>
    <row r="548" spans="1:10" ht="15.75" customHeight="1">
      <c r="A548" s="180"/>
      <c r="B548" s="181"/>
      <c r="C548" s="181"/>
      <c r="D548" s="181"/>
      <c r="E548" s="181"/>
      <c r="F548" s="181"/>
      <c r="G548" s="181"/>
      <c r="H548" s="181"/>
      <c r="I548" s="182"/>
      <c r="J548" s="181"/>
    </row>
    <row r="549" spans="1:10" ht="15.75" customHeight="1">
      <c r="A549" s="180"/>
      <c r="B549" s="181"/>
      <c r="C549" s="181"/>
      <c r="D549" s="181"/>
      <c r="E549" s="181"/>
      <c r="F549" s="181"/>
      <c r="G549" s="181"/>
      <c r="H549" s="181"/>
      <c r="I549" s="182"/>
      <c r="J549" s="181"/>
    </row>
    <row r="550" spans="1:10" ht="15.75" customHeight="1">
      <c r="A550" s="180"/>
      <c r="B550" s="181"/>
      <c r="C550" s="181"/>
      <c r="D550" s="181"/>
      <c r="E550" s="181"/>
      <c r="F550" s="181"/>
      <c r="G550" s="181"/>
      <c r="H550" s="181"/>
      <c r="I550" s="182"/>
      <c r="J550" s="181"/>
    </row>
    <row r="551" spans="1:10" ht="15.75" customHeight="1">
      <c r="A551" s="180"/>
      <c r="B551" s="181"/>
      <c r="C551" s="181"/>
      <c r="D551" s="181"/>
      <c r="E551" s="181"/>
      <c r="F551" s="181"/>
      <c r="G551" s="181"/>
      <c r="H551" s="181"/>
      <c r="I551" s="182"/>
      <c r="J551" s="181"/>
    </row>
    <row r="552" spans="1:10" ht="15.75" customHeight="1">
      <c r="A552" s="180"/>
      <c r="B552" s="181"/>
      <c r="C552" s="181"/>
      <c r="D552" s="181"/>
      <c r="E552" s="181"/>
      <c r="F552" s="181"/>
      <c r="G552" s="181"/>
      <c r="H552" s="181"/>
      <c r="I552" s="182"/>
      <c r="J552" s="181"/>
    </row>
    <row r="553" spans="1:10" ht="15.75" customHeight="1">
      <c r="A553" s="180"/>
      <c r="B553" s="181"/>
      <c r="C553" s="181"/>
      <c r="D553" s="181"/>
      <c r="E553" s="181"/>
      <c r="F553" s="181"/>
      <c r="G553" s="181"/>
      <c r="H553" s="181"/>
      <c r="I553" s="182"/>
      <c r="J553" s="181"/>
    </row>
    <row r="554" spans="1:10" ht="15.75" customHeight="1">
      <c r="A554" s="180"/>
      <c r="B554" s="181"/>
      <c r="C554" s="181"/>
      <c r="D554" s="181"/>
      <c r="E554" s="181"/>
      <c r="F554" s="181"/>
      <c r="G554" s="181"/>
      <c r="H554" s="181"/>
      <c r="I554" s="182"/>
      <c r="J554" s="181"/>
    </row>
    <row r="555" spans="1:10" ht="15.75" customHeight="1">
      <c r="A555" s="180"/>
      <c r="B555" s="181"/>
      <c r="C555" s="181"/>
      <c r="D555" s="181"/>
      <c r="E555" s="181"/>
      <c r="F555" s="181"/>
      <c r="G555" s="181"/>
      <c r="H555" s="181"/>
      <c r="I555" s="182"/>
      <c r="J555" s="181"/>
    </row>
    <row r="556" spans="1:10" ht="15.75" customHeight="1">
      <c r="A556" s="180"/>
      <c r="B556" s="181"/>
      <c r="C556" s="181"/>
      <c r="D556" s="181"/>
      <c r="E556" s="181"/>
      <c r="F556" s="181"/>
      <c r="G556" s="181"/>
      <c r="H556" s="181"/>
      <c r="I556" s="182"/>
      <c r="J556" s="181"/>
    </row>
    <row r="557" spans="1:10" ht="15.75" customHeight="1">
      <c r="A557" s="180"/>
      <c r="B557" s="181"/>
      <c r="C557" s="181"/>
      <c r="D557" s="181"/>
      <c r="E557" s="181"/>
      <c r="F557" s="181"/>
      <c r="G557" s="181"/>
      <c r="H557" s="181"/>
      <c r="I557" s="182"/>
      <c r="J557" s="181"/>
    </row>
    <row r="558" spans="1:10" ht="15.75" customHeight="1">
      <c r="A558" s="180"/>
      <c r="B558" s="181"/>
      <c r="C558" s="181"/>
      <c r="D558" s="181"/>
      <c r="E558" s="181"/>
      <c r="F558" s="181"/>
      <c r="G558" s="181"/>
      <c r="H558" s="181"/>
      <c r="I558" s="182"/>
      <c r="J558" s="181"/>
    </row>
    <row r="559" spans="1:10" ht="15.75" customHeight="1">
      <c r="A559" s="180"/>
      <c r="B559" s="181"/>
      <c r="C559" s="181"/>
      <c r="D559" s="181"/>
      <c r="E559" s="181"/>
      <c r="F559" s="181"/>
      <c r="G559" s="181"/>
      <c r="H559" s="181"/>
      <c r="I559" s="182"/>
      <c r="J559" s="181"/>
    </row>
    <row r="560" spans="1:10" ht="15.75" customHeight="1">
      <c r="A560" s="180"/>
      <c r="B560" s="181"/>
      <c r="C560" s="181"/>
      <c r="D560" s="181"/>
      <c r="E560" s="181"/>
      <c r="F560" s="181"/>
      <c r="G560" s="181"/>
      <c r="H560" s="181"/>
      <c r="I560" s="182"/>
      <c r="J560" s="181"/>
    </row>
    <row r="561" spans="1:10" ht="15.75" customHeight="1">
      <c r="A561" s="180"/>
      <c r="B561" s="181"/>
      <c r="C561" s="181"/>
      <c r="D561" s="181"/>
      <c r="E561" s="181"/>
      <c r="F561" s="181"/>
      <c r="G561" s="181"/>
      <c r="H561" s="181"/>
      <c r="I561" s="182"/>
      <c r="J561" s="181"/>
    </row>
    <row r="562" spans="1:10" ht="15.75" customHeight="1">
      <c r="A562" s="180"/>
      <c r="B562" s="181"/>
      <c r="C562" s="181"/>
      <c r="D562" s="181"/>
      <c r="E562" s="181"/>
      <c r="F562" s="181"/>
      <c r="G562" s="181"/>
      <c r="H562" s="181"/>
      <c r="I562" s="182"/>
      <c r="J562" s="181"/>
    </row>
    <row r="563" spans="1:10" ht="15.75" customHeight="1">
      <c r="A563" s="180"/>
      <c r="B563" s="181"/>
      <c r="C563" s="181"/>
      <c r="D563" s="181"/>
      <c r="E563" s="181"/>
      <c r="F563" s="181"/>
      <c r="G563" s="181"/>
      <c r="H563" s="181"/>
      <c r="I563" s="182"/>
      <c r="J563" s="181"/>
    </row>
    <row r="564" spans="1:10" ht="15.75" customHeight="1">
      <c r="A564" s="180"/>
      <c r="B564" s="181"/>
      <c r="C564" s="181"/>
      <c r="D564" s="181"/>
      <c r="E564" s="181"/>
      <c r="F564" s="181"/>
      <c r="G564" s="181"/>
      <c r="H564" s="181"/>
      <c r="I564" s="182"/>
      <c r="J564" s="181"/>
    </row>
    <row r="565" spans="1:10" ht="15.75" customHeight="1">
      <c r="A565" s="180"/>
      <c r="B565" s="181"/>
      <c r="C565" s="181"/>
      <c r="D565" s="181"/>
      <c r="E565" s="181"/>
      <c r="F565" s="181"/>
      <c r="G565" s="181"/>
      <c r="H565" s="181"/>
      <c r="I565" s="182"/>
      <c r="J565" s="181"/>
    </row>
    <row r="566" spans="1:10" ht="15.75" customHeight="1">
      <c r="A566" s="180"/>
      <c r="B566" s="181"/>
      <c r="C566" s="181"/>
      <c r="D566" s="181"/>
      <c r="E566" s="181"/>
      <c r="F566" s="181"/>
      <c r="G566" s="181"/>
      <c r="H566" s="181"/>
      <c r="I566" s="182"/>
      <c r="J566" s="181"/>
    </row>
    <row r="567" spans="1:10" ht="15.75" customHeight="1">
      <c r="A567" s="180"/>
      <c r="B567" s="181"/>
      <c r="C567" s="181"/>
      <c r="D567" s="181"/>
      <c r="E567" s="181"/>
      <c r="F567" s="181"/>
      <c r="G567" s="181"/>
      <c r="H567" s="181"/>
      <c r="I567" s="182"/>
      <c r="J567" s="181"/>
    </row>
    <row r="568" spans="1:10" ht="15.75" customHeight="1">
      <c r="A568" s="180"/>
      <c r="B568" s="181"/>
      <c r="C568" s="181"/>
      <c r="D568" s="181"/>
      <c r="E568" s="181"/>
      <c r="F568" s="181"/>
      <c r="G568" s="181"/>
      <c r="H568" s="181"/>
      <c r="I568" s="182"/>
      <c r="J568" s="181"/>
    </row>
    <row r="569" spans="1:10" ht="15.75" customHeight="1">
      <c r="A569" s="180"/>
      <c r="B569" s="181"/>
      <c r="C569" s="181"/>
      <c r="D569" s="181"/>
      <c r="E569" s="181"/>
      <c r="F569" s="181"/>
      <c r="G569" s="181"/>
      <c r="H569" s="181"/>
      <c r="I569" s="182"/>
      <c r="J569" s="181"/>
    </row>
    <row r="570" spans="1:10" ht="15.75" customHeight="1">
      <c r="A570" s="180"/>
      <c r="B570" s="181"/>
      <c r="C570" s="181"/>
      <c r="D570" s="181"/>
      <c r="E570" s="181"/>
      <c r="F570" s="181"/>
      <c r="G570" s="181"/>
      <c r="H570" s="181"/>
      <c r="I570" s="182"/>
      <c r="J570" s="181"/>
    </row>
    <row r="571" spans="1:10" ht="15.75" customHeight="1">
      <c r="A571" s="180"/>
      <c r="B571" s="181"/>
      <c r="C571" s="181"/>
      <c r="D571" s="181"/>
      <c r="E571" s="181"/>
      <c r="F571" s="181"/>
      <c r="G571" s="181"/>
      <c r="H571" s="181"/>
      <c r="I571" s="182"/>
      <c r="J571" s="181"/>
    </row>
    <row r="572" spans="1:10" ht="15.75" customHeight="1">
      <c r="A572" s="180"/>
      <c r="B572" s="181"/>
      <c r="C572" s="181"/>
      <c r="D572" s="181"/>
      <c r="E572" s="181"/>
      <c r="F572" s="181"/>
      <c r="G572" s="181"/>
      <c r="H572" s="181"/>
      <c r="I572" s="182"/>
      <c r="J572" s="181"/>
    </row>
    <row r="573" spans="1:10" ht="15.75" customHeight="1">
      <c r="A573" s="180"/>
      <c r="B573" s="181"/>
      <c r="C573" s="181"/>
      <c r="D573" s="181"/>
      <c r="E573" s="181"/>
      <c r="F573" s="181"/>
      <c r="G573" s="181"/>
      <c r="H573" s="181"/>
      <c r="I573" s="182"/>
      <c r="J573" s="181"/>
    </row>
    <row r="574" spans="1:10" ht="15.75" customHeight="1">
      <c r="A574" s="180"/>
      <c r="B574" s="181"/>
      <c r="C574" s="181"/>
      <c r="D574" s="181"/>
      <c r="E574" s="181"/>
      <c r="F574" s="181"/>
      <c r="G574" s="181"/>
      <c r="H574" s="181"/>
      <c r="I574" s="182"/>
      <c r="J574" s="181"/>
    </row>
    <row r="575" spans="1:10" ht="15.75" customHeight="1">
      <c r="A575" s="180"/>
      <c r="B575" s="181"/>
      <c r="C575" s="181"/>
      <c r="D575" s="181"/>
      <c r="E575" s="181"/>
      <c r="F575" s="181"/>
      <c r="G575" s="181"/>
      <c r="H575" s="181"/>
      <c r="I575" s="182"/>
      <c r="J575" s="181"/>
    </row>
    <row r="576" spans="1:10" ht="15.75" customHeight="1">
      <c r="A576" s="180"/>
      <c r="B576" s="181"/>
      <c r="C576" s="181"/>
      <c r="D576" s="181"/>
      <c r="E576" s="181"/>
      <c r="F576" s="181"/>
      <c r="G576" s="181"/>
      <c r="H576" s="181"/>
      <c r="I576" s="182"/>
      <c r="J576" s="181"/>
    </row>
    <row r="577" spans="1:10" ht="15.75" customHeight="1">
      <c r="A577" s="180"/>
      <c r="B577" s="181"/>
      <c r="C577" s="181"/>
      <c r="D577" s="181"/>
      <c r="E577" s="181"/>
      <c r="F577" s="181"/>
      <c r="G577" s="181"/>
      <c r="H577" s="181"/>
      <c r="I577" s="182"/>
      <c r="J577" s="181"/>
    </row>
    <row r="578" spans="1:10" ht="15.75" customHeight="1">
      <c r="A578" s="180"/>
      <c r="B578" s="181"/>
      <c r="C578" s="181"/>
      <c r="D578" s="181"/>
      <c r="E578" s="181"/>
      <c r="F578" s="181"/>
      <c r="G578" s="181"/>
      <c r="H578" s="181"/>
      <c r="I578" s="182"/>
      <c r="J578" s="181"/>
    </row>
    <row r="579" spans="1:10" ht="15.75" customHeight="1">
      <c r="A579" s="180"/>
      <c r="B579" s="181"/>
      <c r="C579" s="181"/>
      <c r="D579" s="181"/>
      <c r="E579" s="181"/>
      <c r="F579" s="181"/>
      <c r="G579" s="181"/>
      <c r="H579" s="181"/>
      <c r="I579" s="182"/>
      <c r="J579" s="181"/>
    </row>
    <row r="580" spans="1:10" ht="15.75" customHeight="1">
      <c r="A580" s="180"/>
      <c r="B580" s="181"/>
      <c r="C580" s="181"/>
      <c r="D580" s="181"/>
      <c r="E580" s="181"/>
      <c r="F580" s="181"/>
      <c r="G580" s="181"/>
      <c r="H580" s="181"/>
      <c r="I580" s="182"/>
      <c r="J580" s="181"/>
    </row>
    <row r="581" spans="1:10" ht="15.75" customHeight="1">
      <c r="A581" s="180"/>
      <c r="B581" s="181"/>
      <c r="C581" s="181"/>
      <c r="D581" s="181"/>
      <c r="E581" s="181"/>
      <c r="F581" s="181"/>
      <c r="G581" s="181"/>
      <c r="H581" s="181"/>
      <c r="I581" s="182"/>
      <c r="J581" s="181"/>
    </row>
    <row r="582" spans="1:10" ht="15.75" customHeight="1">
      <c r="A582" s="180"/>
      <c r="B582" s="181"/>
      <c r="C582" s="181"/>
      <c r="D582" s="181"/>
      <c r="E582" s="181"/>
      <c r="F582" s="181"/>
      <c r="G582" s="181"/>
      <c r="H582" s="181"/>
      <c r="I582" s="182"/>
      <c r="J582" s="181"/>
    </row>
    <row r="583" spans="1:10" ht="15.75" customHeight="1">
      <c r="A583" s="180"/>
      <c r="B583" s="181"/>
      <c r="C583" s="181"/>
      <c r="D583" s="181"/>
      <c r="E583" s="181"/>
      <c r="F583" s="181"/>
      <c r="G583" s="181"/>
      <c r="H583" s="181"/>
      <c r="I583" s="182"/>
      <c r="J583" s="181"/>
    </row>
    <row r="584" spans="1:10" ht="15.75" customHeight="1">
      <c r="A584" s="180"/>
      <c r="B584" s="181"/>
      <c r="C584" s="181"/>
      <c r="D584" s="181"/>
      <c r="E584" s="181"/>
      <c r="F584" s="181"/>
      <c r="G584" s="181"/>
      <c r="H584" s="181"/>
      <c r="I584" s="182"/>
      <c r="J584" s="181"/>
    </row>
    <row r="585" spans="1:10" ht="15.75" customHeight="1">
      <c r="A585" s="180"/>
      <c r="B585" s="181"/>
      <c r="C585" s="181"/>
      <c r="D585" s="181"/>
      <c r="E585" s="181"/>
      <c r="F585" s="181"/>
      <c r="G585" s="181"/>
      <c r="H585" s="181"/>
      <c r="I585" s="182"/>
      <c r="J585" s="181"/>
    </row>
    <row r="586" spans="1:10" ht="15.75" customHeight="1">
      <c r="A586" s="180"/>
      <c r="B586" s="181"/>
      <c r="C586" s="181"/>
      <c r="D586" s="181"/>
      <c r="E586" s="181"/>
      <c r="F586" s="181"/>
      <c r="G586" s="181"/>
      <c r="H586" s="181"/>
      <c r="I586" s="182"/>
      <c r="J586" s="181"/>
    </row>
    <row r="587" spans="1:10" ht="15.75" customHeight="1">
      <c r="A587" s="180"/>
      <c r="B587" s="181"/>
      <c r="C587" s="181"/>
      <c r="D587" s="181"/>
      <c r="E587" s="181"/>
      <c r="F587" s="181"/>
      <c r="G587" s="181"/>
      <c r="H587" s="181"/>
      <c r="I587" s="182"/>
      <c r="J587" s="181"/>
    </row>
    <row r="588" spans="1:10" ht="15.75" customHeight="1">
      <c r="A588" s="180"/>
      <c r="B588" s="181"/>
      <c r="C588" s="181"/>
      <c r="D588" s="181"/>
      <c r="E588" s="181"/>
      <c r="F588" s="181"/>
      <c r="G588" s="181"/>
      <c r="H588" s="181"/>
      <c r="I588" s="182"/>
      <c r="J588" s="181"/>
    </row>
    <row r="589" spans="1:10" ht="15.75" customHeight="1">
      <c r="A589" s="180"/>
      <c r="B589" s="181"/>
      <c r="C589" s="181"/>
      <c r="D589" s="181"/>
      <c r="E589" s="181"/>
      <c r="F589" s="181"/>
      <c r="G589" s="181"/>
      <c r="H589" s="181"/>
      <c r="I589" s="182"/>
      <c r="J589" s="181"/>
    </row>
    <row r="590" spans="1:10" ht="15.75" customHeight="1">
      <c r="A590" s="180"/>
      <c r="B590" s="181"/>
      <c r="C590" s="181"/>
      <c r="D590" s="181"/>
      <c r="E590" s="181"/>
      <c r="F590" s="181"/>
      <c r="G590" s="181"/>
      <c r="H590" s="181"/>
      <c r="I590" s="182"/>
      <c r="J590" s="181"/>
    </row>
    <row r="591" spans="1:10" ht="15.75" customHeight="1">
      <c r="A591" s="180"/>
      <c r="B591" s="181"/>
      <c r="C591" s="181"/>
      <c r="D591" s="181"/>
      <c r="E591" s="181"/>
      <c r="F591" s="181"/>
      <c r="G591" s="181"/>
      <c r="H591" s="181"/>
      <c r="I591" s="182"/>
      <c r="J591" s="181"/>
    </row>
    <row r="592" spans="1:10" ht="15.75" customHeight="1">
      <c r="A592" s="180"/>
      <c r="B592" s="181"/>
      <c r="C592" s="181"/>
      <c r="D592" s="181"/>
      <c r="E592" s="181"/>
      <c r="F592" s="181"/>
      <c r="G592" s="181"/>
      <c r="H592" s="181"/>
      <c r="I592" s="182"/>
      <c r="J592" s="181"/>
    </row>
    <row r="593" spans="1:10" ht="15.75" customHeight="1">
      <c r="A593" s="180"/>
      <c r="B593" s="181"/>
      <c r="C593" s="181"/>
      <c r="D593" s="181"/>
      <c r="E593" s="181"/>
      <c r="F593" s="181"/>
      <c r="G593" s="181"/>
      <c r="H593" s="181"/>
      <c r="I593" s="182"/>
      <c r="J593" s="181"/>
    </row>
    <row r="594" spans="1:10" ht="15.75" customHeight="1">
      <c r="A594" s="180"/>
      <c r="B594" s="181"/>
      <c r="C594" s="181"/>
      <c r="D594" s="181"/>
      <c r="E594" s="181"/>
      <c r="F594" s="181"/>
      <c r="G594" s="181"/>
      <c r="H594" s="181"/>
      <c r="I594" s="182"/>
      <c r="J594" s="181"/>
    </row>
    <row r="595" spans="1:10" ht="15.75" customHeight="1">
      <c r="A595" s="180"/>
      <c r="B595" s="181"/>
      <c r="C595" s="181"/>
      <c r="D595" s="181"/>
      <c r="E595" s="181"/>
      <c r="F595" s="181"/>
      <c r="G595" s="181"/>
      <c r="H595" s="181"/>
      <c r="I595" s="182"/>
      <c r="J595" s="181"/>
    </row>
    <row r="596" spans="1:10" ht="15.75" customHeight="1">
      <c r="A596" s="180"/>
      <c r="B596" s="181"/>
      <c r="C596" s="181"/>
      <c r="D596" s="181"/>
      <c r="E596" s="181"/>
      <c r="F596" s="181"/>
      <c r="G596" s="181"/>
      <c r="H596" s="181"/>
      <c r="I596" s="182"/>
      <c r="J596" s="181"/>
    </row>
    <row r="597" spans="1:10" ht="15.75" customHeight="1">
      <c r="A597" s="180"/>
      <c r="B597" s="181"/>
      <c r="C597" s="181"/>
      <c r="D597" s="181"/>
      <c r="E597" s="181"/>
      <c r="F597" s="181"/>
      <c r="G597" s="181"/>
      <c r="H597" s="181"/>
      <c r="I597" s="182"/>
      <c r="J597" s="181"/>
    </row>
    <row r="598" spans="1:10" ht="15.75" customHeight="1">
      <c r="A598" s="180"/>
      <c r="B598" s="181"/>
      <c r="C598" s="181"/>
      <c r="D598" s="181"/>
      <c r="E598" s="181"/>
      <c r="F598" s="181"/>
      <c r="G598" s="181"/>
      <c r="H598" s="181"/>
      <c r="I598" s="182"/>
      <c r="J598" s="181"/>
    </row>
    <row r="599" spans="1:10" ht="15.75" customHeight="1">
      <c r="A599" s="180"/>
      <c r="B599" s="181"/>
      <c r="C599" s="181"/>
      <c r="D599" s="181"/>
      <c r="E599" s="181"/>
      <c r="F599" s="181"/>
      <c r="G599" s="181"/>
      <c r="H599" s="181"/>
      <c r="I599" s="182"/>
      <c r="J599" s="181"/>
    </row>
    <row r="600" spans="1:10" ht="15.75" customHeight="1">
      <c r="A600" s="180"/>
      <c r="B600" s="181"/>
      <c r="C600" s="181"/>
      <c r="D600" s="181"/>
      <c r="E600" s="181"/>
      <c r="F600" s="181"/>
      <c r="G600" s="181"/>
      <c r="H600" s="181"/>
      <c r="I600" s="182"/>
      <c r="J600" s="181"/>
    </row>
    <row r="601" spans="1:10" ht="15.75" customHeight="1">
      <c r="A601" s="180"/>
      <c r="B601" s="181"/>
      <c r="C601" s="181"/>
      <c r="D601" s="181"/>
      <c r="E601" s="181"/>
      <c r="F601" s="181"/>
      <c r="G601" s="181"/>
      <c r="H601" s="181"/>
      <c r="I601" s="182"/>
      <c r="J601" s="181"/>
    </row>
    <row r="602" spans="1:10" ht="15.75" customHeight="1">
      <c r="A602" s="180"/>
      <c r="B602" s="181"/>
      <c r="C602" s="181"/>
      <c r="D602" s="181"/>
      <c r="E602" s="181"/>
      <c r="F602" s="181"/>
      <c r="G602" s="181"/>
      <c r="H602" s="181"/>
      <c r="I602" s="182"/>
      <c r="J602" s="181"/>
    </row>
    <row r="603" spans="1:10" ht="15.75" customHeight="1">
      <c r="A603" s="180"/>
      <c r="B603" s="181"/>
      <c r="C603" s="181"/>
      <c r="D603" s="181"/>
      <c r="E603" s="181"/>
      <c r="F603" s="181"/>
      <c r="G603" s="181"/>
      <c r="H603" s="181"/>
      <c r="I603" s="182"/>
      <c r="J603" s="181"/>
    </row>
    <row r="604" spans="1:10" ht="15.75" customHeight="1">
      <c r="A604" s="180"/>
      <c r="B604" s="181"/>
      <c r="C604" s="181"/>
      <c r="D604" s="181"/>
      <c r="E604" s="181"/>
      <c r="F604" s="181"/>
      <c r="G604" s="181"/>
      <c r="H604" s="181"/>
      <c r="I604" s="182"/>
      <c r="J604" s="181"/>
    </row>
    <row r="605" spans="1:10" ht="15.75" customHeight="1">
      <c r="A605" s="180"/>
      <c r="B605" s="181"/>
      <c r="C605" s="181"/>
      <c r="D605" s="181"/>
      <c r="E605" s="181"/>
      <c r="F605" s="181"/>
      <c r="G605" s="181"/>
      <c r="H605" s="181"/>
      <c r="I605" s="182"/>
      <c r="J605" s="181"/>
    </row>
    <row r="606" spans="1:10" ht="15.75" customHeight="1">
      <c r="A606" s="180"/>
      <c r="B606" s="181"/>
      <c r="C606" s="181"/>
      <c r="D606" s="181"/>
      <c r="E606" s="181"/>
      <c r="F606" s="181"/>
      <c r="G606" s="181"/>
      <c r="H606" s="181"/>
      <c r="I606" s="182"/>
      <c r="J606" s="181"/>
    </row>
    <row r="607" spans="1:10" ht="15.75" customHeight="1">
      <c r="A607" s="180"/>
      <c r="B607" s="181"/>
      <c r="C607" s="181"/>
      <c r="D607" s="181"/>
      <c r="E607" s="181"/>
      <c r="F607" s="181"/>
      <c r="G607" s="181"/>
      <c r="H607" s="181"/>
      <c r="I607" s="182"/>
      <c r="J607" s="181"/>
    </row>
    <row r="608" spans="1:10" ht="15.75" customHeight="1">
      <c r="A608" s="180"/>
      <c r="B608" s="181"/>
      <c r="C608" s="181"/>
      <c r="D608" s="181"/>
      <c r="E608" s="181"/>
      <c r="F608" s="181"/>
      <c r="G608" s="181"/>
      <c r="H608" s="181"/>
      <c r="I608" s="182"/>
      <c r="J608" s="181"/>
    </row>
    <row r="609" spans="1:10" ht="15.75" customHeight="1">
      <c r="A609" s="180"/>
      <c r="B609" s="181"/>
      <c r="C609" s="181"/>
      <c r="D609" s="181"/>
      <c r="E609" s="181"/>
      <c r="F609" s="181"/>
      <c r="G609" s="181"/>
      <c r="H609" s="181"/>
      <c r="I609" s="182"/>
      <c r="J609" s="181"/>
    </row>
    <row r="610" spans="1:10" ht="15.75" customHeight="1">
      <c r="A610" s="180"/>
      <c r="B610" s="181"/>
      <c r="C610" s="181"/>
      <c r="D610" s="181"/>
      <c r="E610" s="181"/>
      <c r="F610" s="181"/>
      <c r="G610" s="181"/>
      <c r="H610" s="181"/>
      <c r="I610" s="182"/>
      <c r="J610" s="181"/>
    </row>
    <row r="611" spans="1:10" ht="15.75" customHeight="1">
      <c r="A611" s="180"/>
      <c r="B611" s="181"/>
      <c r="C611" s="181"/>
      <c r="D611" s="181"/>
      <c r="E611" s="181"/>
      <c r="F611" s="181"/>
      <c r="G611" s="181"/>
      <c r="H611" s="181"/>
      <c r="I611" s="182"/>
      <c r="J611" s="181"/>
    </row>
    <row r="612" spans="1:10" ht="15.75" customHeight="1">
      <c r="A612" s="180"/>
      <c r="B612" s="181"/>
      <c r="C612" s="181"/>
      <c r="D612" s="181"/>
      <c r="E612" s="181"/>
      <c r="F612" s="181"/>
      <c r="G612" s="181"/>
      <c r="H612" s="181"/>
      <c r="I612" s="182"/>
      <c r="J612" s="181"/>
    </row>
    <row r="613" spans="1:10" ht="15.75" customHeight="1">
      <c r="A613" s="180"/>
      <c r="B613" s="181"/>
      <c r="C613" s="181"/>
      <c r="D613" s="181"/>
      <c r="E613" s="181"/>
      <c r="F613" s="181"/>
      <c r="G613" s="181"/>
      <c r="H613" s="181"/>
      <c r="I613" s="182"/>
      <c r="J613" s="181"/>
    </row>
    <row r="614" spans="1:10" ht="15.75" customHeight="1">
      <c r="A614" s="180"/>
      <c r="B614" s="181"/>
      <c r="C614" s="181"/>
      <c r="D614" s="181"/>
      <c r="E614" s="181"/>
      <c r="F614" s="181"/>
      <c r="G614" s="181"/>
      <c r="H614" s="181"/>
      <c r="I614" s="182"/>
      <c r="J614" s="181"/>
    </row>
    <row r="615" spans="1:10" ht="15.75" customHeight="1">
      <c r="A615" s="180"/>
      <c r="B615" s="181"/>
      <c r="C615" s="181"/>
      <c r="D615" s="181"/>
      <c r="E615" s="181"/>
      <c r="F615" s="181"/>
      <c r="G615" s="181"/>
      <c r="H615" s="181"/>
      <c r="I615" s="182"/>
      <c r="J615" s="181"/>
    </row>
    <row r="616" spans="1:10" ht="15.75" customHeight="1">
      <c r="A616" s="180"/>
      <c r="B616" s="181"/>
      <c r="C616" s="181"/>
      <c r="D616" s="181"/>
      <c r="E616" s="181"/>
      <c r="F616" s="181"/>
      <c r="G616" s="181"/>
      <c r="H616" s="181"/>
      <c r="I616" s="182"/>
      <c r="J616" s="181"/>
    </row>
    <row r="617" spans="1:10" ht="15.75" customHeight="1">
      <c r="A617" s="180"/>
      <c r="B617" s="181"/>
      <c r="C617" s="181"/>
      <c r="D617" s="181"/>
      <c r="E617" s="181"/>
      <c r="F617" s="181"/>
      <c r="G617" s="181"/>
      <c r="H617" s="181"/>
      <c r="I617" s="182"/>
      <c r="J617" s="181"/>
    </row>
    <row r="618" spans="1:10" ht="15.75" customHeight="1">
      <c r="A618" s="180"/>
      <c r="B618" s="181"/>
      <c r="C618" s="181"/>
      <c r="D618" s="181"/>
      <c r="E618" s="181"/>
      <c r="F618" s="181"/>
      <c r="G618" s="181"/>
      <c r="H618" s="181"/>
      <c r="I618" s="182"/>
      <c r="J618" s="181"/>
    </row>
    <row r="619" spans="1:10" ht="15.75" customHeight="1">
      <c r="A619" s="180"/>
      <c r="B619" s="181"/>
      <c r="C619" s="181"/>
      <c r="D619" s="181"/>
      <c r="E619" s="181"/>
      <c r="F619" s="181"/>
      <c r="G619" s="181"/>
      <c r="H619" s="181"/>
      <c r="I619" s="182"/>
      <c r="J619" s="181"/>
    </row>
    <row r="620" spans="1:10" ht="15.75" customHeight="1">
      <c r="A620" s="180"/>
      <c r="B620" s="181"/>
      <c r="C620" s="181"/>
      <c r="D620" s="181"/>
      <c r="E620" s="181"/>
      <c r="F620" s="181"/>
      <c r="G620" s="181"/>
      <c r="H620" s="181"/>
      <c r="I620" s="182"/>
      <c r="J620" s="181"/>
    </row>
    <row r="621" spans="1:10" ht="15.75" customHeight="1">
      <c r="A621" s="180"/>
      <c r="B621" s="181"/>
      <c r="C621" s="181"/>
      <c r="D621" s="181"/>
      <c r="E621" s="181"/>
      <c r="F621" s="181"/>
      <c r="G621" s="181"/>
      <c r="H621" s="181"/>
      <c r="I621" s="182"/>
      <c r="J621" s="181"/>
    </row>
    <row r="622" spans="1:10" ht="15.75" customHeight="1">
      <c r="A622" s="180"/>
      <c r="B622" s="181"/>
      <c r="C622" s="181"/>
      <c r="D622" s="181"/>
      <c r="E622" s="181"/>
      <c r="F622" s="181"/>
      <c r="G622" s="181"/>
      <c r="H622" s="181"/>
      <c r="I622" s="182"/>
      <c r="J622" s="181"/>
    </row>
    <row r="623" spans="1:10" ht="15.75" customHeight="1">
      <c r="A623" s="180"/>
      <c r="B623" s="181"/>
      <c r="C623" s="181"/>
      <c r="D623" s="181"/>
      <c r="E623" s="181"/>
      <c r="F623" s="181"/>
      <c r="G623" s="181"/>
      <c r="H623" s="181"/>
      <c r="I623" s="182"/>
      <c r="J623" s="181"/>
    </row>
    <row r="624" spans="1:10" ht="15.75" customHeight="1">
      <c r="A624" s="180"/>
      <c r="B624" s="181"/>
      <c r="C624" s="181"/>
      <c r="D624" s="181"/>
      <c r="E624" s="181"/>
      <c r="F624" s="181"/>
      <c r="G624" s="181"/>
      <c r="H624" s="181"/>
      <c r="I624" s="182"/>
      <c r="J624" s="181"/>
    </row>
    <row r="625" spans="1:10" ht="15.75" customHeight="1">
      <c r="A625" s="180"/>
      <c r="B625" s="181"/>
      <c r="C625" s="181"/>
      <c r="D625" s="181"/>
      <c r="E625" s="181"/>
      <c r="F625" s="181"/>
      <c r="G625" s="181"/>
      <c r="H625" s="181"/>
      <c r="I625" s="182"/>
      <c r="J625" s="181"/>
    </row>
    <row r="626" spans="1:10" ht="15.75" customHeight="1">
      <c r="A626" s="180"/>
      <c r="B626" s="181"/>
      <c r="C626" s="181"/>
      <c r="D626" s="181"/>
      <c r="E626" s="181"/>
      <c r="F626" s="181"/>
      <c r="G626" s="181"/>
      <c r="H626" s="181"/>
      <c r="I626" s="182"/>
      <c r="J626" s="181"/>
    </row>
    <row r="627" spans="1:10" ht="15.75" customHeight="1">
      <c r="A627" s="180"/>
      <c r="B627" s="181"/>
      <c r="C627" s="181"/>
      <c r="D627" s="181"/>
      <c r="E627" s="181"/>
      <c r="F627" s="181"/>
      <c r="G627" s="181"/>
      <c r="H627" s="181"/>
      <c r="I627" s="182"/>
      <c r="J627" s="181"/>
    </row>
    <row r="628" spans="1:10" ht="15.75" customHeight="1">
      <c r="A628" s="180"/>
      <c r="B628" s="181"/>
      <c r="C628" s="181"/>
      <c r="D628" s="181"/>
      <c r="E628" s="181"/>
      <c r="F628" s="181"/>
      <c r="G628" s="181"/>
      <c r="H628" s="181"/>
      <c r="I628" s="182"/>
      <c r="J628" s="181"/>
    </row>
    <row r="629" spans="1:10" ht="15.75" customHeight="1">
      <c r="A629" s="180"/>
      <c r="B629" s="181"/>
      <c r="C629" s="181"/>
      <c r="D629" s="181"/>
      <c r="E629" s="181"/>
      <c r="F629" s="181"/>
      <c r="G629" s="181"/>
      <c r="H629" s="181"/>
      <c r="I629" s="182"/>
      <c r="J629" s="181"/>
    </row>
    <row r="630" spans="1:10" ht="15.75" customHeight="1">
      <c r="A630" s="180"/>
      <c r="B630" s="181"/>
      <c r="C630" s="181"/>
      <c r="D630" s="181"/>
      <c r="E630" s="181"/>
      <c r="F630" s="181"/>
      <c r="G630" s="181"/>
      <c r="H630" s="181"/>
      <c r="I630" s="182"/>
      <c r="J630" s="181"/>
    </row>
    <row r="631" spans="1:10" ht="15.75" customHeight="1">
      <c r="A631" s="180"/>
      <c r="B631" s="181"/>
      <c r="C631" s="181"/>
      <c r="D631" s="181"/>
      <c r="E631" s="181"/>
      <c r="F631" s="181"/>
      <c r="G631" s="181"/>
      <c r="H631" s="181"/>
      <c r="I631" s="182"/>
      <c r="J631" s="181"/>
    </row>
    <row r="632" spans="1:10" ht="15.75" customHeight="1">
      <c r="A632" s="180"/>
      <c r="B632" s="181"/>
      <c r="C632" s="181"/>
      <c r="D632" s="181"/>
      <c r="E632" s="181"/>
      <c r="F632" s="181"/>
      <c r="G632" s="181"/>
      <c r="H632" s="181"/>
      <c r="I632" s="182"/>
      <c r="J632" s="181"/>
    </row>
    <row r="633" spans="1:10" ht="15.75" customHeight="1">
      <c r="A633" s="180"/>
      <c r="B633" s="181"/>
      <c r="C633" s="181"/>
      <c r="D633" s="181"/>
      <c r="E633" s="181"/>
      <c r="F633" s="181"/>
      <c r="G633" s="181"/>
      <c r="H633" s="181"/>
      <c r="I633" s="182"/>
      <c r="J633" s="181"/>
    </row>
    <row r="634" spans="1:10" ht="15.75" customHeight="1">
      <c r="A634" s="180"/>
      <c r="B634" s="181"/>
      <c r="C634" s="181"/>
      <c r="D634" s="181"/>
      <c r="E634" s="181"/>
      <c r="F634" s="181"/>
      <c r="G634" s="181"/>
      <c r="H634" s="181"/>
      <c r="I634" s="182"/>
      <c r="J634" s="181"/>
    </row>
    <row r="635" spans="1:10" ht="15.75" customHeight="1">
      <c r="A635" s="180"/>
      <c r="B635" s="181"/>
      <c r="C635" s="181"/>
      <c r="D635" s="181"/>
      <c r="E635" s="181"/>
      <c r="F635" s="181"/>
      <c r="G635" s="181"/>
      <c r="H635" s="181"/>
      <c r="I635" s="182"/>
      <c r="J635" s="181"/>
    </row>
    <row r="636" spans="1:10" ht="15.75" customHeight="1">
      <c r="A636" s="180"/>
      <c r="B636" s="181"/>
      <c r="C636" s="181"/>
      <c r="D636" s="181"/>
      <c r="E636" s="181"/>
      <c r="F636" s="181"/>
      <c r="G636" s="181"/>
      <c r="H636" s="181"/>
      <c r="I636" s="182"/>
      <c r="J636" s="181"/>
    </row>
    <row r="637" spans="1:10" ht="15.75" customHeight="1">
      <c r="A637" s="180"/>
      <c r="B637" s="181"/>
      <c r="C637" s="181"/>
      <c r="D637" s="181"/>
      <c r="E637" s="181"/>
      <c r="F637" s="181"/>
      <c r="G637" s="181"/>
      <c r="H637" s="181"/>
      <c r="I637" s="182"/>
      <c r="J637" s="181"/>
    </row>
    <row r="638" spans="1:10" ht="15.75" customHeight="1">
      <c r="A638" s="180"/>
      <c r="B638" s="181"/>
      <c r="C638" s="181"/>
      <c r="D638" s="181"/>
      <c r="E638" s="181"/>
      <c r="F638" s="181"/>
      <c r="G638" s="181"/>
      <c r="H638" s="181"/>
      <c r="I638" s="182"/>
      <c r="J638" s="181"/>
    </row>
    <row r="639" spans="1:10" ht="15.75" customHeight="1">
      <c r="A639" s="180"/>
      <c r="B639" s="181"/>
      <c r="C639" s="181"/>
      <c r="D639" s="181"/>
      <c r="E639" s="181"/>
      <c r="F639" s="181"/>
      <c r="G639" s="181"/>
      <c r="H639" s="181"/>
      <c r="I639" s="182"/>
      <c r="J639" s="181"/>
    </row>
    <row r="640" spans="1:10" ht="15.75" customHeight="1">
      <c r="A640" s="180"/>
      <c r="B640" s="181"/>
      <c r="C640" s="181"/>
      <c r="D640" s="181"/>
      <c r="E640" s="181"/>
      <c r="F640" s="181"/>
      <c r="G640" s="181"/>
      <c r="H640" s="181"/>
      <c r="I640" s="182"/>
      <c r="J640" s="181"/>
    </row>
    <row r="641" spans="1:10" ht="15.75" customHeight="1">
      <c r="A641" s="180"/>
      <c r="B641" s="181"/>
      <c r="C641" s="181"/>
      <c r="D641" s="181"/>
      <c r="E641" s="181"/>
      <c r="F641" s="181"/>
      <c r="G641" s="181"/>
      <c r="H641" s="181"/>
      <c r="I641" s="182"/>
      <c r="J641" s="181"/>
    </row>
    <row r="642" spans="1:10" ht="15.75" customHeight="1">
      <c r="A642" s="180"/>
      <c r="B642" s="181"/>
      <c r="C642" s="181"/>
      <c r="D642" s="181"/>
      <c r="E642" s="181"/>
      <c r="F642" s="181"/>
      <c r="G642" s="181"/>
      <c r="H642" s="181"/>
      <c r="I642" s="182"/>
      <c r="J642" s="181"/>
    </row>
    <row r="643" spans="1:10" ht="15.75" customHeight="1">
      <c r="A643" s="180"/>
      <c r="B643" s="181"/>
      <c r="C643" s="181"/>
      <c r="D643" s="181"/>
      <c r="E643" s="181"/>
      <c r="F643" s="181"/>
      <c r="G643" s="181"/>
      <c r="H643" s="181"/>
      <c r="I643" s="182"/>
      <c r="J643" s="181"/>
    </row>
    <row r="644" spans="1:10" ht="15.75" customHeight="1">
      <c r="A644" s="180"/>
      <c r="B644" s="181"/>
      <c r="C644" s="181"/>
      <c r="D644" s="181"/>
      <c r="E644" s="181"/>
      <c r="F644" s="181"/>
      <c r="G644" s="181"/>
      <c r="H644" s="181"/>
      <c r="I644" s="182"/>
      <c r="J644" s="181"/>
    </row>
    <row r="645" spans="1:10" ht="15.75" customHeight="1">
      <c r="A645" s="180"/>
      <c r="B645" s="181"/>
      <c r="C645" s="181"/>
      <c r="D645" s="181"/>
      <c r="E645" s="181"/>
      <c r="F645" s="181"/>
      <c r="G645" s="181"/>
      <c r="H645" s="181"/>
      <c r="I645" s="182"/>
      <c r="J645" s="181"/>
    </row>
    <row r="646" spans="1:10" ht="15.75" customHeight="1">
      <c r="A646" s="180"/>
      <c r="B646" s="181"/>
      <c r="C646" s="181"/>
      <c r="D646" s="181"/>
      <c r="E646" s="181"/>
      <c r="F646" s="181"/>
      <c r="G646" s="181"/>
      <c r="H646" s="181"/>
      <c r="I646" s="182"/>
      <c r="J646" s="181"/>
    </row>
    <row r="647" spans="1:10" ht="15.75" customHeight="1">
      <c r="A647" s="180"/>
      <c r="B647" s="181"/>
      <c r="C647" s="181"/>
      <c r="D647" s="181"/>
      <c r="E647" s="181"/>
      <c r="F647" s="181"/>
      <c r="G647" s="181"/>
      <c r="H647" s="181"/>
      <c r="I647" s="182"/>
      <c r="J647" s="181"/>
    </row>
    <row r="648" spans="1:10" ht="15.75" customHeight="1">
      <c r="A648" s="180"/>
      <c r="B648" s="181"/>
      <c r="C648" s="181"/>
      <c r="D648" s="181"/>
      <c r="E648" s="181"/>
      <c r="F648" s="181"/>
      <c r="G648" s="181"/>
      <c r="H648" s="181"/>
      <c r="I648" s="182"/>
      <c r="J648" s="181"/>
    </row>
    <row r="649" spans="1:10" ht="15.75" customHeight="1">
      <c r="A649" s="180"/>
      <c r="B649" s="181"/>
      <c r="C649" s="181"/>
      <c r="D649" s="181"/>
      <c r="E649" s="181"/>
      <c r="F649" s="181"/>
      <c r="G649" s="181"/>
      <c r="H649" s="181"/>
      <c r="I649" s="182"/>
      <c r="J649" s="181"/>
    </row>
    <row r="650" spans="1:10" ht="15.75" customHeight="1">
      <c r="A650" s="180"/>
      <c r="B650" s="181"/>
      <c r="C650" s="181"/>
      <c r="D650" s="181"/>
      <c r="E650" s="181"/>
      <c r="F650" s="181"/>
      <c r="G650" s="181"/>
      <c r="H650" s="181"/>
      <c r="I650" s="182"/>
      <c r="J650" s="181"/>
    </row>
    <row r="651" spans="1:10" ht="15.75" customHeight="1">
      <c r="A651" s="180"/>
      <c r="B651" s="181"/>
      <c r="C651" s="181"/>
      <c r="D651" s="181"/>
      <c r="E651" s="181"/>
      <c r="F651" s="181"/>
      <c r="G651" s="181"/>
      <c r="H651" s="181"/>
      <c r="I651" s="182"/>
      <c r="J651" s="181"/>
    </row>
    <row r="652" spans="1:10" ht="15.75" customHeight="1">
      <c r="A652" s="180"/>
      <c r="B652" s="181"/>
      <c r="C652" s="181"/>
      <c r="D652" s="181"/>
      <c r="E652" s="181"/>
      <c r="F652" s="181"/>
      <c r="G652" s="181"/>
      <c r="H652" s="181"/>
      <c r="I652" s="182"/>
      <c r="J652" s="181"/>
    </row>
    <row r="653" spans="1:10" ht="15.75" customHeight="1">
      <c r="A653" s="180"/>
      <c r="B653" s="181"/>
      <c r="C653" s="181"/>
      <c r="D653" s="181"/>
      <c r="E653" s="181"/>
      <c r="F653" s="181"/>
      <c r="G653" s="181"/>
      <c r="H653" s="181"/>
      <c r="I653" s="182"/>
      <c r="J653" s="181"/>
    </row>
    <row r="654" spans="1:10" ht="15.75" customHeight="1">
      <c r="A654" s="180"/>
      <c r="B654" s="181"/>
      <c r="C654" s="181"/>
      <c r="D654" s="181"/>
      <c r="E654" s="181"/>
      <c r="F654" s="181"/>
      <c r="G654" s="181"/>
      <c r="H654" s="181"/>
      <c r="I654" s="182"/>
      <c r="J654" s="181"/>
    </row>
    <row r="655" spans="1:10" ht="15.75" customHeight="1">
      <c r="A655" s="180"/>
      <c r="B655" s="181"/>
      <c r="C655" s="181"/>
      <c r="D655" s="181"/>
      <c r="E655" s="181"/>
      <c r="F655" s="181"/>
      <c r="G655" s="181"/>
      <c r="H655" s="181"/>
      <c r="I655" s="182"/>
      <c r="J655" s="181"/>
    </row>
    <row r="656" spans="1:10" ht="15.75" customHeight="1">
      <c r="A656" s="180"/>
      <c r="B656" s="181"/>
      <c r="C656" s="181"/>
      <c r="D656" s="181"/>
      <c r="E656" s="181"/>
      <c r="F656" s="181"/>
      <c r="G656" s="181"/>
      <c r="H656" s="181"/>
      <c r="I656" s="182"/>
      <c r="J656" s="181"/>
    </row>
    <row r="657" spans="1:10" ht="15.75" customHeight="1">
      <c r="A657" s="180"/>
      <c r="B657" s="181"/>
      <c r="C657" s="181"/>
      <c r="D657" s="181"/>
      <c r="E657" s="181"/>
      <c r="F657" s="181"/>
      <c r="G657" s="181"/>
      <c r="H657" s="181"/>
      <c r="I657" s="182"/>
      <c r="J657" s="181"/>
    </row>
    <row r="658" spans="1:10" ht="15.75" customHeight="1">
      <c r="A658" s="180"/>
      <c r="B658" s="181"/>
      <c r="C658" s="181"/>
      <c r="D658" s="181"/>
      <c r="E658" s="181"/>
      <c r="F658" s="181"/>
      <c r="G658" s="181"/>
      <c r="H658" s="181"/>
      <c r="I658" s="182"/>
      <c r="J658" s="181"/>
    </row>
    <row r="659" spans="1:10" ht="15.75" customHeight="1">
      <c r="A659" s="180"/>
      <c r="B659" s="181"/>
      <c r="C659" s="181"/>
      <c r="D659" s="181"/>
      <c r="E659" s="181"/>
      <c r="F659" s="181"/>
      <c r="G659" s="181"/>
      <c r="H659" s="181"/>
      <c r="I659" s="182"/>
      <c r="J659" s="181"/>
    </row>
    <row r="660" spans="1:10" ht="15.75" customHeight="1">
      <c r="A660" s="180"/>
      <c r="B660" s="181"/>
      <c r="C660" s="181"/>
      <c r="D660" s="181"/>
      <c r="E660" s="181"/>
      <c r="F660" s="181"/>
      <c r="G660" s="181"/>
      <c r="H660" s="181"/>
      <c r="I660" s="182"/>
      <c r="J660" s="181"/>
    </row>
    <row r="661" spans="1:10" ht="15.75" customHeight="1">
      <c r="A661" s="180"/>
      <c r="B661" s="181"/>
      <c r="C661" s="181"/>
      <c r="D661" s="181"/>
      <c r="E661" s="181"/>
      <c r="F661" s="181"/>
      <c r="G661" s="181"/>
      <c r="H661" s="181"/>
      <c r="I661" s="182"/>
      <c r="J661" s="181"/>
    </row>
    <row r="662" spans="1:10" ht="15.75" customHeight="1">
      <c r="A662" s="180"/>
      <c r="B662" s="181"/>
      <c r="C662" s="181"/>
      <c r="D662" s="181"/>
      <c r="E662" s="181"/>
      <c r="F662" s="181"/>
      <c r="G662" s="181"/>
      <c r="H662" s="181"/>
      <c r="I662" s="182"/>
      <c r="J662" s="181"/>
    </row>
    <row r="663" spans="1:10" ht="15.75" customHeight="1">
      <c r="A663" s="180"/>
      <c r="B663" s="181"/>
      <c r="C663" s="181"/>
      <c r="D663" s="181"/>
      <c r="E663" s="181"/>
      <c r="F663" s="181"/>
      <c r="G663" s="181"/>
      <c r="H663" s="181"/>
      <c r="I663" s="182"/>
      <c r="J663" s="181"/>
    </row>
    <row r="664" spans="1:10" ht="15.75" customHeight="1">
      <c r="A664" s="180"/>
      <c r="B664" s="181"/>
      <c r="C664" s="181"/>
      <c r="D664" s="181"/>
      <c r="E664" s="181"/>
      <c r="F664" s="181"/>
      <c r="G664" s="181"/>
      <c r="H664" s="181"/>
      <c r="I664" s="182"/>
      <c r="J664" s="181"/>
    </row>
    <row r="665" spans="1:10" ht="15.75" customHeight="1">
      <c r="A665" s="180"/>
      <c r="B665" s="181"/>
      <c r="C665" s="181"/>
      <c r="D665" s="181"/>
      <c r="E665" s="181"/>
      <c r="F665" s="181"/>
      <c r="G665" s="181"/>
      <c r="H665" s="181"/>
      <c r="I665" s="182"/>
      <c r="J665" s="181"/>
    </row>
    <row r="666" spans="1:10" ht="15.75" customHeight="1">
      <c r="A666" s="180"/>
      <c r="B666" s="181"/>
      <c r="C666" s="181"/>
      <c r="D666" s="181"/>
      <c r="E666" s="181"/>
      <c r="F666" s="181"/>
      <c r="G666" s="181"/>
      <c r="H666" s="181"/>
      <c r="I666" s="182"/>
      <c r="J666" s="181"/>
    </row>
    <row r="667" spans="1:10" ht="15.75" customHeight="1">
      <c r="A667" s="180"/>
      <c r="B667" s="181"/>
      <c r="C667" s="181"/>
      <c r="D667" s="181"/>
      <c r="E667" s="181"/>
      <c r="F667" s="181"/>
      <c r="G667" s="181"/>
      <c r="H667" s="181"/>
      <c r="I667" s="182"/>
      <c r="J667" s="181"/>
    </row>
    <row r="668" spans="1:10" ht="15.75" customHeight="1">
      <c r="A668" s="180"/>
      <c r="B668" s="181"/>
      <c r="C668" s="181"/>
      <c r="D668" s="181"/>
      <c r="E668" s="181"/>
      <c r="F668" s="181"/>
      <c r="G668" s="181"/>
      <c r="H668" s="181"/>
      <c r="I668" s="182"/>
      <c r="J668" s="181"/>
    </row>
    <row r="669" spans="1:10" ht="15.75" customHeight="1">
      <c r="A669" s="180"/>
      <c r="B669" s="181"/>
      <c r="C669" s="181"/>
      <c r="D669" s="181"/>
      <c r="E669" s="181"/>
      <c r="F669" s="181"/>
      <c r="G669" s="181"/>
      <c r="H669" s="181"/>
      <c r="I669" s="182"/>
      <c r="J669" s="181"/>
    </row>
    <row r="670" spans="1:10" ht="15.75" customHeight="1">
      <c r="A670" s="180"/>
      <c r="B670" s="181"/>
      <c r="C670" s="181"/>
      <c r="D670" s="181"/>
      <c r="E670" s="181"/>
      <c r="F670" s="181"/>
      <c r="G670" s="181"/>
      <c r="H670" s="181"/>
      <c r="I670" s="182"/>
      <c r="J670" s="181"/>
    </row>
    <row r="671" spans="1:10" ht="15.75" customHeight="1">
      <c r="A671" s="180"/>
      <c r="B671" s="181"/>
      <c r="C671" s="181"/>
      <c r="D671" s="181"/>
      <c r="E671" s="181"/>
      <c r="F671" s="181"/>
      <c r="G671" s="181"/>
      <c r="H671" s="181"/>
      <c r="I671" s="182"/>
      <c r="J671" s="181"/>
    </row>
    <row r="672" spans="1:10" ht="15.75" customHeight="1">
      <c r="A672" s="180"/>
      <c r="B672" s="181"/>
      <c r="C672" s="181"/>
      <c r="D672" s="181"/>
      <c r="E672" s="181"/>
      <c r="F672" s="181"/>
      <c r="G672" s="181"/>
      <c r="H672" s="181"/>
      <c r="I672" s="182"/>
      <c r="J672" s="181"/>
    </row>
    <row r="673" spans="1:10" ht="15.75" customHeight="1">
      <c r="A673" s="180"/>
      <c r="B673" s="181"/>
      <c r="C673" s="181"/>
      <c r="D673" s="181"/>
      <c r="E673" s="181"/>
      <c r="F673" s="181"/>
      <c r="G673" s="181"/>
      <c r="H673" s="181"/>
      <c r="I673" s="182"/>
      <c r="J673" s="181"/>
    </row>
    <row r="674" spans="1:10" ht="15.75" customHeight="1">
      <c r="A674" s="180"/>
      <c r="B674" s="181"/>
      <c r="C674" s="181"/>
      <c r="D674" s="181"/>
      <c r="E674" s="181"/>
      <c r="F674" s="181"/>
      <c r="G674" s="181"/>
      <c r="H674" s="181"/>
      <c r="I674" s="182"/>
      <c r="J674" s="181"/>
    </row>
    <row r="675" spans="1:10" ht="15.75" customHeight="1">
      <c r="A675" s="180"/>
      <c r="B675" s="181"/>
      <c r="C675" s="181"/>
      <c r="D675" s="181"/>
      <c r="E675" s="181"/>
      <c r="F675" s="181"/>
      <c r="G675" s="181"/>
      <c r="H675" s="181"/>
      <c r="I675" s="182"/>
      <c r="J675" s="181"/>
    </row>
    <row r="676" spans="1:10" ht="15.75" customHeight="1">
      <c r="A676" s="180"/>
      <c r="B676" s="181"/>
      <c r="C676" s="181"/>
      <c r="D676" s="181"/>
      <c r="E676" s="181"/>
      <c r="F676" s="181"/>
      <c r="G676" s="181"/>
      <c r="H676" s="181"/>
      <c r="I676" s="182"/>
      <c r="J676" s="181"/>
    </row>
    <row r="677" spans="1:10" ht="15.75" customHeight="1">
      <c r="A677" s="180"/>
      <c r="B677" s="181"/>
      <c r="C677" s="181"/>
      <c r="D677" s="181"/>
      <c r="E677" s="181"/>
      <c r="F677" s="181"/>
      <c r="G677" s="181"/>
      <c r="H677" s="181"/>
      <c r="I677" s="182"/>
      <c r="J677" s="181"/>
    </row>
    <row r="678" spans="1:10" ht="15.75" customHeight="1">
      <c r="A678" s="180"/>
      <c r="B678" s="181"/>
      <c r="C678" s="181"/>
      <c r="D678" s="181"/>
      <c r="E678" s="181"/>
      <c r="F678" s="181"/>
      <c r="G678" s="181"/>
      <c r="H678" s="181"/>
      <c r="I678" s="182"/>
      <c r="J678" s="181"/>
    </row>
    <row r="679" spans="1:10" ht="15.75" customHeight="1">
      <c r="A679" s="180"/>
      <c r="B679" s="181"/>
      <c r="C679" s="181"/>
      <c r="D679" s="181"/>
      <c r="E679" s="181"/>
      <c r="F679" s="181"/>
      <c r="G679" s="181"/>
      <c r="H679" s="181"/>
      <c r="I679" s="182"/>
      <c r="J679" s="181"/>
    </row>
    <row r="680" spans="1:10" ht="15.75" customHeight="1">
      <c r="A680" s="180"/>
      <c r="B680" s="181"/>
      <c r="C680" s="181"/>
      <c r="D680" s="181"/>
      <c r="E680" s="181"/>
      <c r="F680" s="181"/>
      <c r="G680" s="181"/>
      <c r="H680" s="181"/>
      <c r="I680" s="182"/>
      <c r="J680" s="181"/>
    </row>
    <row r="681" spans="1:10" ht="15.75" customHeight="1">
      <c r="A681" s="180"/>
      <c r="B681" s="181"/>
      <c r="C681" s="181"/>
      <c r="D681" s="181"/>
      <c r="E681" s="181"/>
      <c r="F681" s="181"/>
      <c r="G681" s="181"/>
      <c r="H681" s="181"/>
      <c r="I681" s="182"/>
      <c r="J681" s="181"/>
    </row>
    <row r="682" spans="1:10" ht="15.75" customHeight="1">
      <c r="A682" s="180"/>
      <c r="B682" s="181"/>
      <c r="C682" s="181"/>
      <c r="D682" s="181"/>
      <c r="E682" s="181"/>
      <c r="F682" s="181"/>
      <c r="G682" s="181"/>
      <c r="H682" s="181"/>
      <c r="I682" s="182"/>
      <c r="J682" s="181"/>
    </row>
    <row r="683" spans="1:10" ht="15.75" customHeight="1">
      <c r="A683" s="180"/>
      <c r="B683" s="181"/>
      <c r="C683" s="181"/>
      <c r="D683" s="181"/>
      <c r="E683" s="181"/>
      <c r="F683" s="181"/>
      <c r="G683" s="181"/>
      <c r="H683" s="181"/>
      <c r="I683" s="182"/>
      <c r="J683" s="181"/>
    </row>
    <row r="684" spans="1:10" ht="15.75" customHeight="1">
      <c r="A684" s="180"/>
      <c r="B684" s="181"/>
      <c r="C684" s="181"/>
      <c r="D684" s="181"/>
      <c r="E684" s="181"/>
      <c r="F684" s="181"/>
      <c r="G684" s="181"/>
      <c r="H684" s="181"/>
      <c r="I684" s="182"/>
      <c r="J684" s="181"/>
    </row>
    <row r="685" spans="1:10" ht="15.75" customHeight="1">
      <c r="A685" s="180"/>
      <c r="B685" s="181"/>
      <c r="C685" s="181"/>
      <c r="D685" s="181"/>
      <c r="E685" s="181"/>
      <c r="F685" s="181"/>
      <c r="G685" s="181"/>
      <c r="H685" s="181"/>
      <c r="I685" s="182"/>
      <c r="J685" s="181"/>
    </row>
    <row r="686" spans="1:10" ht="15.75" customHeight="1">
      <c r="A686" s="180"/>
      <c r="B686" s="181"/>
      <c r="C686" s="181"/>
      <c r="D686" s="181"/>
      <c r="E686" s="181"/>
      <c r="F686" s="181"/>
      <c r="G686" s="181"/>
      <c r="H686" s="181"/>
      <c r="I686" s="182"/>
      <c r="J686" s="181"/>
    </row>
    <row r="687" spans="1:10" ht="15.75" customHeight="1">
      <c r="A687" s="180"/>
      <c r="B687" s="181"/>
      <c r="C687" s="181"/>
      <c r="D687" s="181"/>
      <c r="E687" s="181"/>
      <c r="F687" s="181"/>
      <c r="G687" s="181"/>
      <c r="H687" s="181"/>
      <c r="I687" s="182"/>
      <c r="J687" s="181"/>
    </row>
    <row r="688" spans="1:10" ht="15.75" customHeight="1">
      <c r="A688" s="180"/>
      <c r="B688" s="181"/>
      <c r="C688" s="181"/>
      <c r="D688" s="181"/>
      <c r="E688" s="181"/>
      <c r="F688" s="181"/>
      <c r="G688" s="181"/>
      <c r="H688" s="181"/>
      <c r="I688" s="182"/>
      <c r="J688" s="181"/>
    </row>
    <row r="689" spans="1:10" ht="15.75" customHeight="1">
      <c r="A689" s="180"/>
      <c r="B689" s="181"/>
      <c r="C689" s="181"/>
      <c r="D689" s="181"/>
      <c r="E689" s="181"/>
      <c r="F689" s="181"/>
      <c r="G689" s="181"/>
      <c r="H689" s="181"/>
      <c r="I689" s="182"/>
      <c r="J689" s="181"/>
    </row>
    <row r="690" spans="1:10" ht="15.75" customHeight="1">
      <c r="A690" s="180"/>
      <c r="B690" s="181"/>
      <c r="C690" s="181"/>
      <c r="D690" s="181"/>
      <c r="E690" s="181"/>
      <c r="F690" s="181"/>
      <c r="G690" s="181"/>
      <c r="H690" s="181"/>
      <c r="I690" s="182"/>
      <c r="J690" s="181"/>
    </row>
    <row r="691" spans="1:10" ht="15.75" customHeight="1">
      <c r="A691" s="180"/>
      <c r="B691" s="181"/>
      <c r="C691" s="181"/>
      <c r="D691" s="181"/>
      <c r="E691" s="181"/>
      <c r="F691" s="181"/>
      <c r="G691" s="181"/>
      <c r="H691" s="181"/>
      <c r="I691" s="182"/>
      <c r="J691" s="181"/>
    </row>
    <row r="692" spans="1:10" ht="15.75" customHeight="1">
      <c r="A692" s="180"/>
      <c r="B692" s="181"/>
      <c r="C692" s="181"/>
      <c r="D692" s="181"/>
      <c r="E692" s="181"/>
      <c r="F692" s="181"/>
      <c r="G692" s="181"/>
      <c r="H692" s="181"/>
      <c r="I692" s="182"/>
      <c r="J692" s="181"/>
    </row>
    <row r="693" spans="1:10" ht="15.75" customHeight="1">
      <c r="A693" s="180"/>
      <c r="B693" s="181"/>
      <c r="C693" s="181"/>
      <c r="D693" s="181"/>
      <c r="E693" s="181"/>
      <c r="F693" s="181"/>
      <c r="G693" s="181"/>
      <c r="H693" s="181"/>
      <c r="I693" s="182"/>
      <c r="J693" s="181"/>
    </row>
    <row r="694" spans="1:10" ht="15.75" customHeight="1">
      <c r="A694" s="180"/>
      <c r="B694" s="181"/>
      <c r="C694" s="181"/>
      <c r="D694" s="181"/>
      <c r="E694" s="181"/>
      <c r="F694" s="181"/>
      <c r="G694" s="181"/>
      <c r="H694" s="181"/>
      <c r="I694" s="182"/>
      <c r="J694" s="181"/>
    </row>
    <row r="695" spans="1:10" ht="15.75" customHeight="1">
      <c r="A695" s="180"/>
      <c r="B695" s="181"/>
      <c r="C695" s="181"/>
      <c r="D695" s="181"/>
      <c r="E695" s="181"/>
      <c r="F695" s="181"/>
      <c r="G695" s="181"/>
      <c r="H695" s="181"/>
      <c r="I695" s="182"/>
      <c r="J695" s="181"/>
    </row>
    <row r="696" spans="1:10" ht="15.75" customHeight="1">
      <c r="A696" s="180"/>
      <c r="B696" s="181"/>
      <c r="C696" s="181"/>
      <c r="D696" s="181"/>
      <c r="E696" s="181"/>
      <c r="F696" s="181"/>
      <c r="G696" s="181"/>
      <c r="H696" s="181"/>
      <c r="I696" s="182"/>
      <c r="J696" s="181"/>
    </row>
    <row r="697" spans="1:10" ht="15.75" customHeight="1">
      <c r="A697" s="180"/>
      <c r="B697" s="181"/>
      <c r="C697" s="181"/>
      <c r="D697" s="181"/>
      <c r="E697" s="181"/>
      <c r="F697" s="181"/>
      <c r="G697" s="181"/>
      <c r="H697" s="181"/>
      <c r="I697" s="182"/>
      <c r="J697" s="181"/>
    </row>
    <row r="698" spans="1:10" ht="15.75" customHeight="1">
      <c r="A698" s="180"/>
      <c r="B698" s="181"/>
      <c r="C698" s="181"/>
      <c r="D698" s="181"/>
      <c r="E698" s="181"/>
      <c r="F698" s="181"/>
      <c r="G698" s="181"/>
      <c r="H698" s="181"/>
      <c r="I698" s="182"/>
      <c r="J698" s="181"/>
    </row>
    <row r="699" spans="1:10" ht="15.75" customHeight="1">
      <c r="A699" s="180"/>
      <c r="B699" s="181"/>
      <c r="C699" s="181"/>
      <c r="D699" s="181"/>
      <c r="E699" s="181"/>
      <c r="F699" s="181"/>
      <c r="G699" s="181"/>
      <c r="H699" s="181"/>
      <c r="I699" s="182"/>
      <c r="J699" s="181"/>
    </row>
    <row r="700" spans="1:10" ht="15.75" customHeight="1">
      <c r="A700" s="180"/>
      <c r="B700" s="181"/>
      <c r="C700" s="181"/>
      <c r="D700" s="181"/>
      <c r="E700" s="181"/>
      <c r="F700" s="181"/>
      <c r="G700" s="181"/>
      <c r="H700" s="181"/>
      <c r="I700" s="182"/>
      <c r="J700" s="181"/>
    </row>
    <row r="701" spans="1:10" ht="15.75" customHeight="1">
      <c r="A701" s="180"/>
      <c r="B701" s="181"/>
      <c r="C701" s="181"/>
      <c r="D701" s="181"/>
      <c r="E701" s="181"/>
      <c r="F701" s="181"/>
      <c r="G701" s="181"/>
      <c r="H701" s="181"/>
      <c r="I701" s="182"/>
      <c r="J701" s="181"/>
    </row>
    <row r="702" spans="1:10" ht="15.75" customHeight="1">
      <c r="A702" s="180"/>
      <c r="B702" s="181"/>
      <c r="C702" s="181"/>
      <c r="D702" s="181"/>
      <c r="E702" s="181"/>
      <c r="F702" s="181"/>
      <c r="G702" s="181"/>
      <c r="H702" s="181"/>
      <c r="I702" s="182"/>
      <c r="J702" s="181"/>
    </row>
    <row r="703" spans="1:10" ht="15.75" customHeight="1">
      <c r="A703" s="180"/>
      <c r="B703" s="181"/>
      <c r="C703" s="181"/>
      <c r="D703" s="181"/>
      <c r="E703" s="181"/>
      <c r="F703" s="181"/>
      <c r="G703" s="181"/>
      <c r="H703" s="181"/>
      <c r="I703" s="182"/>
      <c r="J703" s="181"/>
    </row>
    <row r="704" spans="1:10" ht="15.75" customHeight="1">
      <c r="A704" s="180"/>
      <c r="B704" s="181"/>
      <c r="C704" s="181"/>
      <c r="D704" s="181"/>
      <c r="E704" s="181"/>
      <c r="F704" s="181"/>
      <c r="G704" s="181"/>
      <c r="H704" s="181"/>
      <c r="I704" s="182"/>
      <c r="J704" s="181"/>
    </row>
    <row r="705" spans="1:10" ht="15.75" customHeight="1">
      <c r="A705" s="180"/>
      <c r="B705" s="181"/>
      <c r="C705" s="181"/>
      <c r="D705" s="181"/>
      <c r="E705" s="181"/>
      <c r="F705" s="181"/>
      <c r="G705" s="181"/>
      <c r="H705" s="181"/>
      <c r="I705" s="182"/>
      <c r="J705" s="181"/>
    </row>
    <row r="706" spans="1:10" ht="15.75" customHeight="1">
      <c r="A706" s="180"/>
      <c r="B706" s="181"/>
      <c r="C706" s="181"/>
      <c r="D706" s="181"/>
      <c r="E706" s="181"/>
      <c r="F706" s="181"/>
      <c r="G706" s="181"/>
      <c r="H706" s="181"/>
      <c r="I706" s="182"/>
      <c r="J706" s="181"/>
    </row>
    <row r="707" spans="1:10" ht="15.75" customHeight="1">
      <c r="A707" s="180"/>
      <c r="B707" s="181"/>
      <c r="C707" s="181"/>
      <c r="D707" s="181"/>
      <c r="E707" s="181"/>
      <c r="F707" s="181"/>
      <c r="G707" s="181"/>
      <c r="H707" s="181"/>
      <c r="I707" s="182"/>
      <c r="J707" s="181"/>
    </row>
    <row r="708" spans="1:10" ht="15.75" customHeight="1">
      <c r="A708" s="180"/>
      <c r="B708" s="181"/>
      <c r="C708" s="181"/>
      <c r="D708" s="181"/>
      <c r="E708" s="181"/>
      <c r="F708" s="181"/>
      <c r="G708" s="181"/>
      <c r="H708" s="181"/>
      <c r="I708" s="182"/>
      <c r="J708" s="181"/>
    </row>
    <row r="709" spans="1:10" ht="15.75" customHeight="1">
      <c r="A709" s="180"/>
      <c r="B709" s="181"/>
      <c r="C709" s="181"/>
      <c r="D709" s="181"/>
      <c r="E709" s="181"/>
      <c r="F709" s="181"/>
      <c r="G709" s="181"/>
      <c r="H709" s="181"/>
      <c r="I709" s="182"/>
      <c r="J709" s="181"/>
    </row>
    <row r="710" spans="1:10" ht="15.75" customHeight="1">
      <c r="A710" s="180"/>
      <c r="B710" s="181"/>
      <c r="C710" s="181"/>
      <c r="D710" s="181"/>
      <c r="E710" s="181"/>
      <c r="F710" s="181"/>
      <c r="G710" s="181"/>
      <c r="H710" s="181"/>
      <c r="I710" s="182"/>
      <c r="J710" s="181"/>
    </row>
    <row r="711" spans="1:10" ht="15.75" customHeight="1">
      <c r="A711" s="180"/>
      <c r="B711" s="181"/>
      <c r="C711" s="181"/>
      <c r="D711" s="181"/>
      <c r="E711" s="181"/>
      <c r="F711" s="181"/>
      <c r="G711" s="181"/>
      <c r="H711" s="181"/>
      <c r="I711" s="182"/>
      <c r="J711" s="181"/>
    </row>
    <row r="712" spans="1:10" ht="15.75" customHeight="1">
      <c r="A712" s="180"/>
      <c r="B712" s="181"/>
      <c r="C712" s="181"/>
      <c r="D712" s="181"/>
      <c r="E712" s="181"/>
      <c r="F712" s="181"/>
      <c r="G712" s="181"/>
      <c r="H712" s="181"/>
      <c r="I712" s="182"/>
      <c r="J712" s="181"/>
    </row>
    <row r="713" spans="1:10" ht="15.75" customHeight="1">
      <c r="A713" s="180"/>
      <c r="B713" s="181"/>
      <c r="C713" s="181"/>
      <c r="D713" s="181"/>
      <c r="E713" s="181"/>
      <c r="F713" s="181"/>
      <c r="G713" s="181"/>
      <c r="H713" s="181"/>
      <c r="I713" s="182"/>
      <c r="J713" s="181"/>
    </row>
    <row r="714" spans="1:10" ht="15.75" customHeight="1">
      <c r="A714" s="180"/>
      <c r="B714" s="181"/>
      <c r="C714" s="181"/>
      <c r="D714" s="181"/>
      <c r="E714" s="181"/>
      <c r="F714" s="181"/>
      <c r="G714" s="181"/>
      <c r="H714" s="181"/>
      <c r="I714" s="182"/>
      <c r="J714" s="181"/>
    </row>
    <row r="715" spans="1:10" ht="15.75" customHeight="1">
      <c r="A715" s="180"/>
      <c r="B715" s="181"/>
      <c r="C715" s="181"/>
      <c r="D715" s="181"/>
      <c r="E715" s="181"/>
      <c r="F715" s="181"/>
      <c r="G715" s="181"/>
      <c r="H715" s="181"/>
      <c r="I715" s="182"/>
      <c r="J715" s="181"/>
    </row>
    <row r="716" spans="1:10" ht="15.75" customHeight="1">
      <c r="A716" s="180"/>
      <c r="B716" s="181"/>
      <c r="C716" s="181"/>
      <c r="D716" s="181"/>
      <c r="E716" s="181"/>
      <c r="F716" s="181"/>
      <c r="G716" s="181"/>
      <c r="H716" s="181"/>
      <c r="I716" s="182"/>
      <c r="J716" s="181"/>
    </row>
    <row r="717" spans="1:10" ht="15.75" customHeight="1">
      <c r="A717" s="180"/>
      <c r="B717" s="181"/>
      <c r="C717" s="181"/>
      <c r="D717" s="181"/>
      <c r="E717" s="181"/>
      <c r="F717" s="181"/>
      <c r="G717" s="181"/>
      <c r="H717" s="181"/>
      <c r="I717" s="182"/>
      <c r="J717" s="181"/>
    </row>
    <row r="718" spans="1:10" ht="15.75" customHeight="1">
      <c r="A718" s="180"/>
      <c r="B718" s="181"/>
      <c r="C718" s="181"/>
      <c r="D718" s="181"/>
      <c r="E718" s="181"/>
      <c r="F718" s="181"/>
      <c r="G718" s="181"/>
      <c r="H718" s="181"/>
      <c r="I718" s="182"/>
      <c r="J718" s="181"/>
    </row>
    <row r="719" spans="1:10" ht="15.75" customHeight="1">
      <c r="A719" s="180"/>
      <c r="B719" s="181"/>
      <c r="C719" s="181"/>
      <c r="D719" s="181"/>
      <c r="E719" s="181"/>
      <c r="F719" s="181"/>
      <c r="G719" s="181"/>
      <c r="H719" s="181"/>
      <c r="I719" s="182"/>
      <c r="J719" s="181"/>
    </row>
    <row r="720" spans="1:10" ht="15.75" customHeight="1">
      <c r="A720" s="180"/>
      <c r="B720" s="181"/>
      <c r="C720" s="181"/>
      <c r="D720" s="181"/>
      <c r="E720" s="181"/>
      <c r="F720" s="181"/>
      <c r="G720" s="181"/>
      <c r="H720" s="181"/>
      <c r="I720" s="182"/>
      <c r="J720" s="181"/>
    </row>
    <row r="721" spans="1:10" ht="15.75" customHeight="1">
      <c r="A721" s="180"/>
      <c r="B721" s="181"/>
      <c r="C721" s="181"/>
      <c r="D721" s="181"/>
      <c r="E721" s="181"/>
      <c r="F721" s="181"/>
      <c r="G721" s="181"/>
      <c r="H721" s="181"/>
      <c r="I721" s="182"/>
      <c r="J721" s="181"/>
    </row>
    <row r="722" spans="1:10" ht="15.75" customHeight="1">
      <c r="A722" s="180"/>
      <c r="B722" s="181"/>
      <c r="C722" s="181"/>
      <c r="D722" s="181"/>
      <c r="E722" s="181"/>
      <c r="F722" s="181"/>
      <c r="G722" s="181"/>
      <c r="H722" s="181"/>
      <c r="I722" s="182"/>
      <c r="J722" s="181"/>
    </row>
    <row r="723" spans="1:10" ht="15.75" customHeight="1">
      <c r="A723" s="180"/>
      <c r="B723" s="181"/>
      <c r="C723" s="181"/>
      <c r="D723" s="181"/>
      <c r="E723" s="181"/>
      <c r="F723" s="181"/>
      <c r="G723" s="181"/>
      <c r="H723" s="181"/>
      <c r="I723" s="182"/>
      <c r="J723" s="181"/>
    </row>
    <row r="724" spans="1:10" ht="15.75" customHeight="1">
      <c r="A724" s="180"/>
      <c r="B724" s="181"/>
      <c r="C724" s="181"/>
      <c r="D724" s="181"/>
      <c r="E724" s="181"/>
      <c r="F724" s="181"/>
      <c r="G724" s="181"/>
      <c r="H724" s="181"/>
      <c r="I724" s="182"/>
      <c r="J724" s="181"/>
    </row>
    <row r="725" spans="1:10" ht="15.75" customHeight="1">
      <c r="A725" s="180"/>
      <c r="B725" s="181"/>
      <c r="C725" s="181"/>
      <c r="D725" s="181"/>
      <c r="E725" s="181"/>
      <c r="F725" s="181"/>
      <c r="G725" s="181"/>
      <c r="H725" s="181"/>
      <c r="I725" s="182"/>
      <c r="J725" s="181"/>
    </row>
    <row r="726" spans="1:10" ht="15.75" customHeight="1">
      <c r="A726" s="180"/>
      <c r="B726" s="181"/>
      <c r="C726" s="181"/>
      <c r="D726" s="181"/>
      <c r="E726" s="181"/>
      <c r="F726" s="181"/>
      <c r="G726" s="181"/>
      <c r="H726" s="181"/>
      <c r="I726" s="182"/>
      <c r="J726" s="181"/>
    </row>
    <row r="727" spans="1:10" ht="15.75" customHeight="1">
      <c r="A727" s="180"/>
      <c r="B727" s="181"/>
      <c r="C727" s="181"/>
      <c r="D727" s="181"/>
      <c r="E727" s="181"/>
      <c r="F727" s="181"/>
      <c r="G727" s="181"/>
      <c r="H727" s="181"/>
      <c r="I727" s="182"/>
      <c r="J727" s="181"/>
    </row>
    <row r="728" spans="1:10" ht="15.75" customHeight="1">
      <c r="A728" s="180"/>
      <c r="B728" s="181"/>
      <c r="C728" s="181"/>
      <c r="D728" s="181"/>
      <c r="E728" s="181"/>
      <c r="F728" s="181"/>
      <c r="G728" s="181"/>
      <c r="H728" s="181"/>
      <c r="I728" s="182"/>
      <c r="J728" s="181"/>
    </row>
    <row r="729" spans="1:10" ht="15.75" customHeight="1">
      <c r="A729" s="180"/>
      <c r="B729" s="181"/>
      <c r="C729" s="181"/>
      <c r="D729" s="181"/>
      <c r="E729" s="181"/>
      <c r="F729" s="181"/>
      <c r="G729" s="181"/>
      <c r="H729" s="181"/>
      <c r="I729" s="182"/>
      <c r="J729" s="181"/>
    </row>
    <row r="730" spans="1:10" ht="15.75" customHeight="1">
      <c r="A730" s="180"/>
      <c r="B730" s="181"/>
      <c r="C730" s="181"/>
      <c r="D730" s="181"/>
      <c r="E730" s="181"/>
      <c r="F730" s="181"/>
      <c r="G730" s="181"/>
      <c r="H730" s="181"/>
      <c r="I730" s="182"/>
      <c r="J730" s="181"/>
    </row>
    <row r="731" spans="1:10" ht="15.75" customHeight="1">
      <c r="A731" s="180"/>
      <c r="B731" s="181"/>
      <c r="C731" s="181"/>
      <c r="D731" s="181"/>
      <c r="E731" s="181"/>
      <c r="F731" s="181"/>
      <c r="G731" s="181"/>
      <c r="H731" s="181"/>
      <c r="I731" s="182"/>
      <c r="J731" s="181"/>
    </row>
    <row r="732" spans="1:10" ht="15.75" customHeight="1">
      <c r="A732" s="180"/>
      <c r="B732" s="181"/>
      <c r="C732" s="181"/>
      <c r="D732" s="181"/>
      <c r="E732" s="181"/>
      <c r="F732" s="181"/>
      <c r="G732" s="181"/>
      <c r="H732" s="181"/>
      <c r="I732" s="182"/>
      <c r="J732" s="181"/>
    </row>
    <row r="733" spans="1:10" ht="15.75" customHeight="1">
      <c r="A733" s="180"/>
      <c r="B733" s="181"/>
      <c r="C733" s="181"/>
      <c r="D733" s="181"/>
      <c r="E733" s="181"/>
      <c r="F733" s="181"/>
      <c r="G733" s="181"/>
      <c r="H733" s="181"/>
      <c r="I733" s="182"/>
      <c r="J733" s="181"/>
    </row>
    <row r="734" spans="1:10" ht="15.75" customHeight="1">
      <c r="A734" s="180"/>
      <c r="B734" s="181"/>
      <c r="C734" s="181"/>
      <c r="D734" s="181"/>
      <c r="E734" s="181"/>
      <c r="F734" s="181"/>
      <c r="G734" s="181"/>
      <c r="H734" s="181"/>
      <c r="I734" s="182"/>
      <c r="J734" s="181"/>
    </row>
    <row r="735" spans="1:10" ht="15.75" customHeight="1">
      <c r="A735" s="180"/>
      <c r="B735" s="181"/>
      <c r="C735" s="181"/>
      <c r="D735" s="181"/>
      <c r="E735" s="181"/>
      <c r="F735" s="181"/>
      <c r="G735" s="181"/>
      <c r="H735" s="181"/>
      <c r="I735" s="182"/>
      <c r="J735" s="181"/>
    </row>
    <row r="736" spans="1:10" ht="15.75" customHeight="1">
      <c r="A736" s="180"/>
      <c r="B736" s="181"/>
      <c r="C736" s="181"/>
      <c r="D736" s="181"/>
      <c r="E736" s="181"/>
      <c r="F736" s="181"/>
      <c r="G736" s="181"/>
      <c r="H736" s="181"/>
      <c r="I736" s="182"/>
      <c r="J736" s="181"/>
    </row>
    <row r="737" spans="1:10" ht="15.75" customHeight="1">
      <c r="A737" s="180"/>
      <c r="B737" s="181"/>
      <c r="C737" s="181"/>
      <c r="D737" s="181"/>
      <c r="E737" s="181"/>
      <c r="F737" s="181"/>
      <c r="G737" s="181"/>
      <c r="H737" s="181"/>
      <c r="I737" s="182"/>
      <c r="J737" s="181"/>
    </row>
    <row r="738" spans="1:10" ht="15.75" customHeight="1">
      <c r="A738" s="180"/>
      <c r="B738" s="181"/>
      <c r="C738" s="181"/>
      <c r="D738" s="181"/>
      <c r="E738" s="181"/>
      <c r="F738" s="181"/>
      <c r="G738" s="181"/>
      <c r="H738" s="181"/>
      <c r="I738" s="182"/>
      <c r="J738" s="181"/>
    </row>
    <row r="739" spans="1:10" ht="15.75" customHeight="1">
      <c r="A739" s="180"/>
      <c r="B739" s="181"/>
      <c r="C739" s="181"/>
      <c r="D739" s="181"/>
      <c r="E739" s="181"/>
      <c r="F739" s="181"/>
      <c r="G739" s="181"/>
      <c r="H739" s="181"/>
      <c r="I739" s="182"/>
      <c r="J739" s="181"/>
    </row>
    <row r="740" spans="1:10" ht="15.75" customHeight="1">
      <c r="A740" s="180"/>
      <c r="B740" s="181"/>
      <c r="C740" s="181"/>
      <c r="D740" s="181"/>
      <c r="E740" s="181"/>
      <c r="F740" s="181"/>
      <c r="G740" s="181"/>
      <c r="H740" s="181"/>
      <c r="I740" s="182"/>
      <c r="J740" s="181"/>
    </row>
    <row r="741" spans="1:10" ht="15.75" customHeight="1">
      <c r="A741" s="180"/>
      <c r="B741" s="181"/>
      <c r="C741" s="181"/>
      <c r="D741" s="181"/>
      <c r="E741" s="181"/>
      <c r="F741" s="181"/>
      <c r="G741" s="181"/>
      <c r="H741" s="181"/>
      <c r="I741" s="182"/>
      <c r="J741" s="181"/>
    </row>
    <row r="742" spans="1:10" ht="15.75" customHeight="1">
      <c r="A742" s="180"/>
      <c r="B742" s="181"/>
      <c r="C742" s="181"/>
      <c r="D742" s="181"/>
      <c r="E742" s="181"/>
      <c r="F742" s="181"/>
      <c r="G742" s="181"/>
      <c r="H742" s="181"/>
      <c r="I742" s="182"/>
      <c r="J742" s="181"/>
    </row>
    <row r="743" spans="1:10" ht="15.75" customHeight="1">
      <c r="A743" s="180"/>
      <c r="B743" s="181"/>
      <c r="C743" s="181"/>
      <c r="D743" s="181"/>
      <c r="E743" s="181"/>
      <c r="F743" s="181"/>
      <c r="G743" s="181"/>
      <c r="H743" s="181"/>
      <c r="I743" s="182"/>
      <c r="J743" s="181"/>
    </row>
    <row r="744" spans="1:10" ht="15.75" customHeight="1">
      <c r="A744" s="180"/>
      <c r="B744" s="181"/>
      <c r="C744" s="181"/>
      <c r="D744" s="181"/>
      <c r="E744" s="181"/>
      <c r="F744" s="181"/>
      <c r="G744" s="181"/>
      <c r="H744" s="181"/>
      <c r="I744" s="182"/>
      <c r="J744" s="181"/>
    </row>
    <row r="745" spans="1:10" ht="15.75" customHeight="1">
      <c r="A745" s="180"/>
      <c r="B745" s="181"/>
      <c r="C745" s="181"/>
      <c r="D745" s="181"/>
      <c r="E745" s="181"/>
      <c r="F745" s="181"/>
      <c r="G745" s="181"/>
      <c r="H745" s="181"/>
      <c r="I745" s="182"/>
      <c r="J745" s="181"/>
    </row>
    <row r="746" spans="1:10" ht="15.75" customHeight="1">
      <c r="A746" s="180"/>
      <c r="B746" s="181"/>
      <c r="C746" s="181"/>
      <c r="D746" s="181"/>
      <c r="E746" s="181"/>
      <c r="F746" s="181"/>
      <c r="G746" s="181"/>
      <c r="H746" s="181"/>
      <c r="I746" s="182"/>
      <c r="J746" s="181"/>
    </row>
    <row r="747" spans="1:10" ht="15.75" customHeight="1">
      <c r="A747" s="180"/>
      <c r="B747" s="181"/>
      <c r="C747" s="181"/>
      <c r="D747" s="181"/>
      <c r="E747" s="181"/>
      <c r="F747" s="181"/>
      <c r="G747" s="181"/>
      <c r="H747" s="181"/>
      <c r="I747" s="182"/>
      <c r="J747" s="181"/>
    </row>
    <row r="748" spans="1:10" ht="15.75" customHeight="1">
      <c r="A748" s="180"/>
      <c r="B748" s="181"/>
      <c r="C748" s="181"/>
      <c r="D748" s="181"/>
      <c r="E748" s="181"/>
      <c r="F748" s="181"/>
      <c r="G748" s="181"/>
      <c r="H748" s="181"/>
      <c r="I748" s="182"/>
      <c r="J748" s="181"/>
    </row>
    <row r="749" spans="1:10" ht="15.75" customHeight="1">
      <c r="A749" s="180"/>
      <c r="B749" s="181"/>
      <c r="C749" s="181"/>
      <c r="D749" s="181"/>
      <c r="E749" s="181"/>
      <c r="F749" s="181"/>
      <c r="G749" s="181"/>
      <c r="H749" s="181"/>
      <c r="I749" s="182"/>
      <c r="J749" s="181"/>
    </row>
    <row r="750" spans="1:10" ht="15.75" customHeight="1">
      <c r="A750" s="180"/>
      <c r="B750" s="181"/>
      <c r="C750" s="181"/>
      <c r="D750" s="181"/>
      <c r="E750" s="181"/>
      <c r="F750" s="181"/>
      <c r="G750" s="181"/>
      <c r="H750" s="181"/>
      <c r="I750" s="182"/>
      <c r="J750" s="181"/>
    </row>
    <row r="751" spans="1:10" ht="15.75" customHeight="1">
      <c r="A751" s="180"/>
      <c r="B751" s="181"/>
      <c r="C751" s="181"/>
      <c r="D751" s="181"/>
      <c r="E751" s="181"/>
      <c r="F751" s="181"/>
      <c r="G751" s="181"/>
      <c r="H751" s="181"/>
      <c r="I751" s="182"/>
      <c r="J751" s="181"/>
    </row>
    <row r="752" spans="1:10" ht="15.75" customHeight="1">
      <c r="A752" s="180"/>
      <c r="B752" s="181"/>
      <c r="C752" s="181"/>
      <c r="D752" s="181"/>
      <c r="E752" s="181"/>
      <c r="F752" s="181"/>
      <c r="G752" s="181"/>
      <c r="H752" s="181"/>
      <c r="I752" s="182"/>
      <c r="J752" s="181"/>
    </row>
    <row r="753" spans="1:10" ht="15.75" customHeight="1">
      <c r="A753" s="180"/>
      <c r="B753" s="181"/>
      <c r="C753" s="181"/>
      <c r="D753" s="181"/>
      <c r="E753" s="181"/>
      <c r="F753" s="181"/>
      <c r="G753" s="181"/>
      <c r="H753" s="181"/>
      <c r="I753" s="182"/>
      <c r="J753" s="181"/>
    </row>
    <row r="754" spans="1:10" ht="15.75" customHeight="1">
      <c r="A754" s="180"/>
      <c r="B754" s="181"/>
      <c r="C754" s="181"/>
      <c r="D754" s="181"/>
      <c r="E754" s="181"/>
      <c r="F754" s="181"/>
      <c r="G754" s="181"/>
      <c r="H754" s="181"/>
      <c r="I754" s="182"/>
      <c r="J754" s="181"/>
    </row>
    <row r="755" spans="1:10" ht="15.75" customHeight="1">
      <c r="A755" s="180"/>
      <c r="B755" s="181"/>
      <c r="C755" s="181"/>
      <c r="D755" s="181"/>
      <c r="E755" s="181"/>
      <c r="F755" s="181"/>
      <c r="G755" s="181"/>
      <c r="H755" s="181"/>
      <c r="I755" s="182"/>
      <c r="J755" s="181"/>
    </row>
    <row r="756" spans="1:10" ht="15.75" customHeight="1">
      <c r="A756" s="180"/>
      <c r="B756" s="181"/>
      <c r="C756" s="181"/>
      <c r="D756" s="181"/>
      <c r="E756" s="181"/>
      <c r="F756" s="181"/>
      <c r="G756" s="181"/>
      <c r="H756" s="181"/>
      <c r="I756" s="182"/>
      <c r="J756" s="181"/>
    </row>
    <row r="757" spans="1:10" ht="15.75" customHeight="1">
      <c r="A757" s="180"/>
      <c r="B757" s="181"/>
      <c r="C757" s="181"/>
      <c r="D757" s="181"/>
      <c r="E757" s="181"/>
      <c r="F757" s="181"/>
      <c r="G757" s="181"/>
      <c r="H757" s="181"/>
      <c r="I757" s="182"/>
      <c r="J757" s="181"/>
    </row>
    <row r="758" spans="1:10" ht="15.75" customHeight="1">
      <c r="A758" s="180"/>
      <c r="B758" s="181"/>
      <c r="C758" s="181"/>
      <c r="D758" s="181"/>
      <c r="E758" s="181"/>
      <c r="F758" s="181"/>
      <c r="G758" s="181"/>
      <c r="H758" s="181"/>
      <c r="I758" s="182"/>
      <c r="J758" s="181"/>
    </row>
    <row r="759" spans="1:10" ht="15.75" customHeight="1">
      <c r="A759" s="180"/>
      <c r="B759" s="181"/>
      <c r="C759" s="181"/>
      <c r="D759" s="181"/>
      <c r="E759" s="181"/>
      <c r="F759" s="181"/>
      <c r="G759" s="181"/>
      <c r="H759" s="181"/>
      <c r="I759" s="182"/>
      <c r="J759" s="181"/>
    </row>
    <row r="760" spans="1:10" ht="15.75" customHeight="1">
      <c r="A760" s="180"/>
      <c r="B760" s="181"/>
      <c r="C760" s="181"/>
      <c r="D760" s="181"/>
      <c r="E760" s="181"/>
      <c r="F760" s="181"/>
      <c r="G760" s="181"/>
      <c r="H760" s="181"/>
      <c r="I760" s="182"/>
      <c r="J760" s="181"/>
    </row>
    <row r="761" spans="1:10" ht="15.75" customHeight="1">
      <c r="A761" s="180"/>
      <c r="B761" s="181"/>
      <c r="C761" s="181"/>
      <c r="D761" s="181"/>
      <c r="E761" s="181"/>
      <c r="F761" s="181"/>
      <c r="G761" s="181"/>
      <c r="H761" s="181"/>
      <c r="I761" s="182"/>
      <c r="J761" s="181"/>
    </row>
    <row r="762" spans="1:10" ht="15.75" customHeight="1">
      <c r="A762" s="180"/>
      <c r="B762" s="181"/>
      <c r="C762" s="181"/>
      <c r="D762" s="181"/>
      <c r="E762" s="181"/>
      <c r="F762" s="181"/>
      <c r="G762" s="181"/>
      <c r="H762" s="181"/>
      <c r="I762" s="182"/>
      <c r="J762" s="181"/>
    </row>
    <row r="763" spans="1:10" ht="15.75" customHeight="1">
      <c r="A763" s="180"/>
      <c r="B763" s="181"/>
      <c r="C763" s="181"/>
      <c r="D763" s="181"/>
      <c r="E763" s="181"/>
      <c r="F763" s="181"/>
      <c r="G763" s="181"/>
      <c r="H763" s="181"/>
      <c r="I763" s="182"/>
      <c r="J763" s="181"/>
    </row>
    <row r="764" spans="1:10" ht="15.75" customHeight="1">
      <c r="A764" s="180"/>
      <c r="B764" s="181"/>
      <c r="C764" s="181"/>
      <c r="D764" s="181"/>
      <c r="E764" s="181"/>
      <c r="F764" s="181"/>
      <c r="G764" s="181"/>
      <c r="H764" s="181"/>
      <c r="I764" s="182"/>
      <c r="J764" s="181"/>
    </row>
    <row r="765" spans="1:10" ht="15.75" customHeight="1">
      <c r="A765" s="180"/>
      <c r="B765" s="181"/>
      <c r="C765" s="181"/>
      <c r="D765" s="181"/>
      <c r="E765" s="181"/>
      <c r="F765" s="181"/>
      <c r="G765" s="181"/>
      <c r="H765" s="181"/>
      <c r="I765" s="182"/>
      <c r="J765" s="181"/>
    </row>
    <row r="766" spans="1:10" ht="15.75" customHeight="1">
      <c r="A766" s="180"/>
      <c r="B766" s="181"/>
      <c r="C766" s="181"/>
      <c r="D766" s="181"/>
      <c r="E766" s="181"/>
      <c r="F766" s="181"/>
      <c r="G766" s="181"/>
      <c r="H766" s="181"/>
      <c r="I766" s="182"/>
      <c r="J766" s="181"/>
    </row>
    <row r="767" spans="1:10" ht="15.75" customHeight="1">
      <c r="A767" s="180"/>
      <c r="B767" s="181"/>
      <c r="C767" s="181"/>
      <c r="D767" s="181"/>
      <c r="E767" s="181"/>
      <c r="F767" s="181"/>
      <c r="G767" s="181"/>
      <c r="H767" s="181"/>
      <c r="I767" s="182"/>
      <c r="J767" s="181"/>
    </row>
    <row r="768" spans="1:10" ht="15.75" customHeight="1">
      <c r="A768" s="180"/>
      <c r="B768" s="181"/>
      <c r="C768" s="181"/>
      <c r="D768" s="181"/>
      <c r="E768" s="181"/>
      <c r="F768" s="181"/>
      <c r="G768" s="181"/>
      <c r="H768" s="181"/>
      <c r="I768" s="182"/>
      <c r="J768" s="181"/>
    </row>
    <row r="769" spans="1:10" ht="15.75" customHeight="1">
      <c r="A769" s="180"/>
      <c r="B769" s="181"/>
      <c r="C769" s="181"/>
      <c r="D769" s="181"/>
      <c r="E769" s="181"/>
      <c r="F769" s="181"/>
      <c r="G769" s="181"/>
      <c r="H769" s="181"/>
      <c r="I769" s="182"/>
      <c r="J769" s="181"/>
    </row>
    <row r="770" spans="1:10" ht="15.75" customHeight="1">
      <c r="A770" s="180"/>
      <c r="B770" s="181"/>
      <c r="C770" s="181"/>
      <c r="D770" s="181"/>
      <c r="E770" s="181"/>
      <c r="F770" s="181"/>
      <c r="G770" s="181"/>
      <c r="H770" s="181"/>
      <c r="I770" s="182"/>
      <c r="J770" s="181"/>
    </row>
    <row r="771" spans="1:10" ht="15.75" customHeight="1">
      <c r="A771" s="180"/>
      <c r="B771" s="181"/>
      <c r="C771" s="181"/>
      <c r="D771" s="181"/>
      <c r="E771" s="181"/>
      <c r="F771" s="181"/>
      <c r="G771" s="181"/>
      <c r="H771" s="181"/>
      <c r="I771" s="182"/>
      <c r="J771" s="181"/>
    </row>
    <row r="772" spans="1:10" ht="15.75" customHeight="1">
      <c r="A772" s="180"/>
      <c r="B772" s="181"/>
      <c r="C772" s="181"/>
      <c r="D772" s="181"/>
      <c r="E772" s="181"/>
      <c r="F772" s="181"/>
      <c r="G772" s="181"/>
      <c r="H772" s="181"/>
      <c r="I772" s="182"/>
      <c r="J772" s="181"/>
    </row>
    <row r="773" spans="1:10" ht="15.75" customHeight="1">
      <c r="A773" s="180"/>
      <c r="B773" s="181"/>
      <c r="C773" s="181"/>
      <c r="D773" s="181"/>
      <c r="E773" s="181"/>
      <c r="F773" s="181"/>
      <c r="G773" s="181"/>
      <c r="H773" s="181"/>
      <c r="I773" s="182"/>
      <c r="J773" s="181"/>
    </row>
    <row r="774" spans="1:10" ht="15.75" customHeight="1">
      <c r="A774" s="180"/>
      <c r="B774" s="181"/>
      <c r="C774" s="181"/>
      <c r="D774" s="181"/>
      <c r="E774" s="181"/>
      <c r="F774" s="181"/>
      <c r="G774" s="181"/>
      <c r="H774" s="181"/>
      <c r="I774" s="182"/>
      <c r="J774" s="181"/>
    </row>
    <row r="775" spans="1:10" ht="15.75" customHeight="1">
      <c r="A775" s="180"/>
      <c r="B775" s="181"/>
      <c r="C775" s="181"/>
      <c r="D775" s="181"/>
      <c r="E775" s="181"/>
      <c r="F775" s="181"/>
      <c r="G775" s="181"/>
      <c r="H775" s="181"/>
      <c r="I775" s="182"/>
      <c r="J775" s="181"/>
    </row>
    <row r="776" spans="1:10" ht="15.75" customHeight="1">
      <c r="A776" s="180"/>
      <c r="B776" s="181"/>
      <c r="C776" s="181"/>
      <c r="D776" s="181"/>
      <c r="E776" s="181"/>
      <c r="F776" s="181"/>
      <c r="G776" s="181"/>
      <c r="H776" s="181"/>
      <c r="I776" s="182"/>
      <c r="J776" s="181"/>
    </row>
    <row r="777" spans="1:10" ht="15.75" customHeight="1">
      <c r="A777" s="180"/>
      <c r="B777" s="181"/>
      <c r="C777" s="181"/>
      <c r="D777" s="181"/>
      <c r="E777" s="181"/>
      <c r="F777" s="181"/>
      <c r="G777" s="181"/>
      <c r="H777" s="181"/>
      <c r="I777" s="182"/>
      <c r="J777" s="181"/>
    </row>
    <row r="778" spans="1:10" ht="15.75" customHeight="1">
      <c r="A778" s="180"/>
      <c r="B778" s="181"/>
      <c r="C778" s="181"/>
      <c r="D778" s="181"/>
      <c r="E778" s="181"/>
      <c r="F778" s="181"/>
      <c r="G778" s="181"/>
      <c r="H778" s="181"/>
      <c r="I778" s="182"/>
      <c r="J778" s="181"/>
    </row>
    <row r="779" spans="1:10" ht="15.75" customHeight="1">
      <c r="A779" s="180"/>
      <c r="B779" s="181"/>
      <c r="C779" s="181"/>
      <c r="D779" s="181"/>
      <c r="E779" s="181"/>
      <c r="F779" s="181"/>
      <c r="G779" s="181"/>
      <c r="H779" s="181"/>
      <c r="I779" s="182"/>
      <c r="J779" s="181"/>
    </row>
    <row r="780" spans="1:10" ht="15.75" customHeight="1">
      <c r="A780" s="180"/>
      <c r="B780" s="181"/>
      <c r="C780" s="181"/>
      <c r="D780" s="181"/>
      <c r="E780" s="181"/>
      <c r="F780" s="181"/>
      <c r="G780" s="181"/>
      <c r="H780" s="181"/>
      <c r="I780" s="182"/>
      <c r="J780" s="181"/>
    </row>
    <row r="781" spans="1:10" ht="15.75" customHeight="1">
      <c r="A781" s="180"/>
      <c r="B781" s="181"/>
      <c r="C781" s="181"/>
      <c r="D781" s="181"/>
      <c r="E781" s="181"/>
      <c r="F781" s="181"/>
      <c r="G781" s="181"/>
      <c r="H781" s="181"/>
      <c r="I781" s="182"/>
      <c r="J781" s="181"/>
    </row>
    <row r="782" spans="1:10" ht="15.75" customHeight="1">
      <c r="A782" s="180"/>
      <c r="B782" s="181"/>
      <c r="C782" s="181"/>
      <c r="D782" s="181"/>
      <c r="E782" s="181"/>
      <c r="F782" s="181"/>
      <c r="G782" s="181"/>
      <c r="H782" s="181"/>
      <c r="I782" s="182"/>
      <c r="J782" s="181"/>
    </row>
    <row r="783" spans="1:10" ht="15.75" customHeight="1">
      <c r="A783" s="180"/>
      <c r="B783" s="181"/>
      <c r="C783" s="181"/>
      <c r="D783" s="181"/>
      <c r="E783" s="181"/>
      <c r="F783" s="181"/>
      <c r="G783" s="181"/>
      <c r="H783" s="181"/>
      <c r="I783" s="182"/>
      <c r="J783" s="181"/>
    </row>
    <row r="784" spans="1:10" ht="15.75" customHeight="1">
      <c r="A784" s="180"/>
      <c r="B784" s="181"/>
      <c r="C784" s="181"/>
      <c r="D784" s="181"/>
      <c r="E784" s="181"/>
      <c r="F784" s="181"/>
      <c r="G784" s="181"/>
      <c r="H784" s="181"/>
      <c r="I784" s="182"/>
      <c r="J784" s="181"/>
    </row>
    <row r="785" spans="1:10" ht="15.75" customHeight="1">
      <c r="A785" s="180"/>
      <c r="B785" s="181"/>
      <c r="C785" s="181"/>
      <c r="D785" s="181"/>
      <c r="E785" s="181"/>
      <c r="F785" s="181"/>
      <c r="G785" s="181"/>
      <c r="H785" s="181"/>
      <c r="I785" s="182"/>
      <c r="J785" s="181"/>
    </row>
    <row r="786" spans="1:10" ht="15.75" customHeight="1">
      <c r="A786" s="180"/>
      <c r="B786" s="181"/>
      <c r="C786" s="181"/>
      <c r="D786" s="181"/>
      <c r="E786" s="181"/>
      <c r="F786" s="181"/>
      <c r="G786" s="181"/>
      <c r="H786" s="181"/>
      <c r="I786" s="182"/>
      <c r="J786" s="181"/>
    </row>
    <row r="787" spans="1:10" ht="15.75" customHeight="1">
      <c r="A787" s="180"/>
      <c r="B787" s="181"/>
      <c r="C787" s="181"/>
      <c r="D787" s="181"/>
      <c r="E787" s="181"/>
      <c r="F787" s="181"/>
      <c r="G787" s="181"/>
      <c r="H787" s="181"/>
      <c r="I787" s="182"/>
      <c r="J787" s="181"/>
    </row>
    <row r="788" spans="1:10" ht="15.75" customHeight="1">
      <c r="A788" s="180"/>
      <c r="B788" s="181"/>
      <c r="C788" s="181"/>
      <c r="D788" s="181"/>
      <c r="E788" s="181"/>
      <c r="F788" s="181"/>
      <c r="G788" s="181"/>
      <c r="H788" s="181"/>
      <c r="I788" s="182"/>
      <c r="J788" s="181"/>
    </row>
    <row r="789" spans="1:10" ht="15.75" customHeight="1">
      <c r="A789" s="180"/>
      <c r="B789" s="181"/>
      <c r="C789" s="181"/>
      <c r="D789" s="181"/>
      <c r="E789" s="181"/>
      <c r="F789" s="181"/>
      <c r="G789" s="181"/>
      <c r="H789" s="181"/>
      <c r="I789" s="182"/>
      <c r="J789" s="181"/>
    </row>
    <row r="790" spans="1:10" ht="15.75" customHeight="1">
      <c r="A790" s="180"/>
      <c r="B790" s="181"/>
      <c r="C790" s="181"/>
      <c r="D790" s="181"/>
      <c r="E790" s="181"/>
      <c r="F790" s="181"/>
      <c r="G790" s="181"/>
      <c r="H790" s="181"/>
      <c r="I790" s="182"/>
      <c r="J790" s="181"/>
    </row>
    <row r="791" spans="1:10" ht="15.75" customHeight="1">
      <c r="A791" s="180"/>
      <c r="B791" s="181"/>
      <c r="C791" s="181"/>
      <c r="D791" s="181"/>
      <c r="E791" s="181"/>
      <c r="F791" s="181"/>
      <c r="G791" s="181"/>
      <c r="H791" s="181"/>
      <c r="I791" s="182"/>
      <c r="J791" s="181"/>
    </row>
    <row r="792" spans="1:10" ht="15.75" customHeight="1">
      <c r="A792" s="180"/>
      <c r="B792" s="181"/>
      <c r="C792" s="181"/>
      <c r="D792" s="181"/>
      <c r="E792" s="181"/>
      <c r="F792" s="181"/>
      <c r="G792" s="181"/>
      <c r="H792" s="181"/>
      <c r="I792" s="182"/>
      <c r="J792" s="181"/>
    </row>
    <row r="793" spans="1:10" ht="15.75" customHeight="1">
      <c r="A793" s="180"/>
      <c r="B793" s="181"/>
      <c r="C793" s="181"/>
      <c r="D793" s="181"/>
      <c r="E793" s="181"/>
      <c r="F793" s="181"/>
      <c r="G793" s="181"/>
      <c r="H793" s="181"/>
      <c r="I793" s="182"/>
      <c r="J793" s="181"/>
    </row>
    <row r="794" spans="1:10" ht="15.75" customHeight="1">
      <c r="A794" s="180"/>
      <c r="B794" s="181"/>
      <c r="C794" s="181"/>
      <c r="D794" s="181"/>
      <c r="E794" s="181"/>
      <c r="F794" s="181"/>
      <c r="G794" s="181"/>
      <c r="H794" s="181"/>
      <c r="I794" s="182"/>
      <c r="J794" s="181"/>
    </row>
    <row r="795" spans="1:10" ht="15.75" customHeight="1">
      <c r="A795" s="180"/>
      <c r="B795" s="181"/>
      <c r="C795" s="181"/>
      <c r="D795" s="181"/>
      <c r="E795" s="181"/>
      <c r="F795" s="181"/>
      <c r="G795" s="181"/>
      <c r="H795" s="181"/>
      <c r="I795" s="182"/>
      <c r="J795" s="181"/>
    </row>
    <row r="796" spans="1:10" ht="15.75" customHeight="1">
      <c r="A796" s="180"/>
      <c r="B796" s="181"/>
      <c r="C796" s="181"/>
      <c r="D796" s="181"/>
      <c r="E796" s="181"/>
      <c r="F796" s="181"/>
      <c r="G796" s="181"/>
      <c r="H796" s="181"/>
      <c r="I796" s="182"/>
      <c r="J796" s="181"/>
    </row>
    <row r="797" spans="1:10" ht="15.75" customHeight="1">
      <c r="A797" s="180"/>
      <c r="B797" s="181"/>
      <c r="C797" s="181"/>
      <c r="D797" s="181"/>
      <c r="E797" s="181"/>
      <c r="F797" s="181"/>
      <c r="G797" s="181"/>
      <c r="H797" s="181"/>
      <c r="I797" s="182"/>
      <c r="J797" s="181"/>
    </row>
    <row r="798" spans="1:10" ht="15.75" customHeight="1">
      <c r="A798" s="180"/>
      <c r="B798" s="181"/>
      <c r="C798" s="181"/>
      <c r="D798" s="181"/>
      <c r="E798" s="181"/>
      <c r="F798" s="181"/>
      <c r="G798" s="181"/>
      <c r="H798" s="181"/>
      <c r="I798" s="182"/>
      <c r="J798" s="181"/>
    </row>
    <row r="799" spans="1:10" ht="15.75" customHeight="1">
      <c r="A799" s="180"/>
      <c r="B799" s="181"/>
      <c r="C799" s="181"/>
      <c r="D799" s="181"/>
      <c r="E799" s="181"/>
      <c r="F799" s="181"/>
      <c r="G799" s="181"/>
      <c r="H799" s="181"/>
      <c r="I799" s="182"/>
      <c r="J799" s="181"/>
    </row>
    <row r="800" spans="1:10" ht="15.75" customHeight="1">
      <c r="A800" s="180"/>
      <c r="B800" s="181"/>
      <c r="C800" s="181"/>
      <c r="D800" s="181"/>
      <c r="E800" s="181"/>
      <c r="F800" s="181"/>
      <c r="G800" s="181"/>
      <c r="H800" s="181"/>
      <c r="I800" s="182"/>
      <c r="J800" s="181"/>
    </row>
    <row r="801" spans="1:10" ht="15.75" customHeight="1">
      <c r="A801" s="180"/>
      <c r="B801" s="181"/>
      <c r="C801" s="181"/>
      <c r="D801" s="181"/>
      <c r="E801" s="181"/>
      <c r="F801" s="181"/>
      <c r="G801" s="181"/>
      <c r="H801" s="181"/>
      <c r="I801" s="182"/>
      <c r="J801" s="181"/>
    </row>
    <row r="802" spans="1:10" ht="15.75" customHeight="1">
      <c r="A802" s="180"/>
      <c r="B802" s="181"/>
      <c r="C802" s="181"/>
      <c r="D802" s="181"/>
      <c r="E802" s="181"/>
      <c r="F802" s="181"/>
      <c r="G802" s="181"/>
      <c r="H802" s="181"/>
      <c r="I802" s="182"/>
      <c r="J802" s="181"/>
    </row>
    <row r="803" spans="1:10" ht="15.75" customHeight="1">
      <c r="A803" s="180"/>
      <c r="B803" s="181"/>
      <c r="C803" s="181"/>
      <c r="D803" s="181"/>
      <c r="E803" s="181"/>
      <c r="F803" s="181"/>
      <c r="G803" s="181"/>
      <c r="H803" s="181"/>
      <c r="I803" s="182"/>
      <c r="J803" s="181"/>
    </row>
    <row r="804" spans="1:10" ht="15.75" customHeight="1">
      <c r="A804" s="180"/>
      <c r="B804" s="181"/>
      <c r="C804" s="181"/>
      <c r="D804" s="181"/>
      <c r="E804" s="181"/>
      <c r="F804" s="181"/>
      <c r="G804" s="181"/>
      <c r="H804" s="181"/>
      <c r="I804" s="182"/>
      <c r="J804" s="181"/>
    </row>
    <row r="805" spans="1:10" ht="15.75" customHeight="1">
      <c r="A805" s="180"/>
      <c r="B805" s="181"/>
      <c r="C805" s="181"/>
      <c r="D805" s="181"/>
      <c r="E805" s="181"/>
      <c r="F805" s="181"/>
      <c r="G805" s="181"/>
      <c r="H805" s="181"/>
      <c r="I805" s="182"/>
      <c r="J805" s="181"/>
    </row>
    <row r="806" spans="1:10" ht="15.75" customHeight="1">
      <c r="A806" s="180"/>
      <c r="B806" s="181"/>
      <c r="C806" s="181"/>
      <c r="D806" s="181"/>
      <c r="E806" s="181"/>
      <c r="F806" s="181"/>
      <c r="G806" s="181"/>
      <c r="H806" s="181"/>
      <c r="I806" s="182"/>
      <c r="J806" s="181"/>
    </row>
    <row r="807" spans="1:10" ht="15.75" customHeight="1">
      <c r="A807" s="180"/>
      <c r="B807" s="181"/>
      <c r="C807" s="181"/>
      <c r="D807" s="181"/>
      <c r="E807" s="181"/>
      <c r="F807" s="181"/>
      <c r="G807" s="181"/>
      <c r="H807" s="181"/>
      <c r="I807" s="182"/>
      <c r="J807" s="181"/>
    </row>
    <row r="808" spans="1:10" ht="15.75" customHeight="1">
      <c r="A808" s="180"/>
      <c r="B808" s="181"/>
      <c r="C808" s="181"/>
      <c r="D808" s="181"/>
      <c r="E808" s="181"/>
      <c r="F808" s="181"/>
      <c r="G808" s="181"/>
      <c r="H808" s="181"/>
      <c r="I808" s="182"/>
      <c r="J808" s="181"/>
    </row>
    <row r="809" spans="1:10" ht="15.75" customHeight="1">
      <c r="A809" s="180"/>
      <c r="B809" s="181"/>
      <c r="C809" s="181"/>
      <c r="D809" s="181"/>
      <c r="E809" s="181"/>
      <c r="F809" s="181"/>
      <c r="G809" s="181"/>
      <c r="H809" s="181"/>
      <c r="I809" s="182"/>
      <c r="J809" s="181"/>
    </row>
    <row r="810" spans="1:10" ht="15.75" customHeight="1">
      <c r="A810" s="180"/>
      <c r="B810" s="181"/>
      <c r="C810" s="181"/>
      <c r="D810" s="181"/>
      <c r="E810" s="181"/>
      <c r="F810" s="181"/>
      <c r="G810" s="181"/>
      <c r="H810" s="181"/>
      <c r="I810" s="182"/>
      <c r="J810" s="181"/>
    </row>
    <row r="811" spans="1:10" ht="15.75" customHeight="1">
      <c r="A811" s="180"/>
      <c r="B811" s="181"/>
      <c r="C811" s="181"/>
      <c r="D811" s="181"/>
      <c r="E811" s="181"/>
      <c r="F811" s="181"/>
      <c r="G811" s="181"/>
      <c r="H811" s="181"/>
      <c r="I811" s="182"/>
      <c r="J811" s="181"/>
    </row>
    <row r="812" spans="1:10" ht="15.75" customHeight="1">
      <c r="A812" s="180"/>
      <c r="B812" s="181"/>
      <c r="C812" s="181"/>
      <c r="D812" s="181"/>
      <c r="E812" s="181"/>
      <c r="F812" s="181"/>
      <c r="G812" s="181"/>
      <c r="H812" s="181"/>
      <c r="I812" s="182"/>
      <c r="J812" s="181"/>
    </row>
    <row r="813" spans="1:10" ht="15.75" customHeight="1">
      <c r="A813" s="180"/>
      <c r="B813" s="181"/>
      <c r="C813" s="181"/>
      <c r="D813" s="181"/>
      <c r="E813" s="181"/>
      <c r="F813" s="181"/>
      <c r="G813" s="181"/>
      <c r="H813" s="181"/>
      <c r="I813" s="182"/>
      <c r="J813" s="181"/>
    </row>
    <row r="814" spans="1:10" ht="15.75" customHeight="1">
      <c r="A814" s="180"/>
      <c r="B814" s="181"/>
      <c r="C814" s="181"/>
      <c r="D814" s="181"/>
      <c r="E814" s="181"/>
      <c r="F814" s="181"/>
      <c r="G814" s="181"/>
      <c r="H814" s="181"/>
      <c r="I814" s="182"/>
      <c r="J814" s="181"/>
    </row>
    <row r="815" spans="1:10" ht="15.75" customHeight="1">
      <c r="A815" s="180"/>
      <c r="B815" s="181"/>
      <c r="C815" s="181"/>
      <c r="D815" s="181"/>
      <c r="E815" s="181"/>
      <c r="F815" s="181"/>
      <c r="G815" s="181"/>
      <c r="H815" s="181"/>
      <c r="I815" s="182"/>
      <c r="J815" s="181"/>
    </row>
    <row r="816" spans="1:10" ht="15.75" customHeight="1">
      <c r="A816" s="180"/>
      <c r="B816" s="181"/>
      <c r="C816" s="181"/>
      <c r="D816" s="181"/>
      <c r="E816" s="181"/>
      <c r="F816" s="181"/>
      <c r="G816" s="181"/>
      <c r="H816" s="181"/>
      <c r="I816" s="182"/>
      <c r="J816" s="181"/>
    </row>
    <row r="817" spans="1:10" ht="15.75" customHeight="1">
      <c r="A817" s="180"/>
      <c r="B817" s="181"/>
      <c r="C817" s="181"/>
      <c r="D817" s="181"/>
      <c r="E817" s="181"/>
      <c r="F817" s="181"/>
      <c r="G817" s="181"/>
      <c r="H817" s="181"/>
      <c r="I817" s="182"/>
      <c r="J817" s="181"/>
    </row>
    <row r="818" spans="1:10" ht="15.75" customHeight="1">
      <c r="A818" s="180"/>
      <c r="B818" s="181"/>
      <c r="C818" s="181"/>
      <c r="D818" s="181"/>
      <c r="E818" s="181"/>
      <c r="F818" s="181"/>
      <c r="G818" s="181"/>
      <c r="H818" s="181"/>
      <c r="I818" s="182"/>
      <c r="J818" s="181"/>
    </row>
    <row r="819" spans="1:10" ht="15.75" customHeight="1">
      <c r="A819" s="180"/>
      <c r="B819" s="181"/>
      <c r="C819" s="181"/>
      <c r="D819" s="181"/>
      <c r="E819" s="181"/>
      <c r="F819" s="181"/>
      <c r="G819" s="181"/>
      <c r="H819" s="181"/>
      <c r="I819" s="182"/>
      <c r="J819" s="181"/>
    </row>
    <row r="820" spans="1:10" ht="15.75" customHeight="1">
      <c r="A820" s="180"/>
      <c r="B820" s="181"/>
      <c r="C820" s="181"/>
      <c r="D820" s="181"/>
      <c r="E820" s="181"/>
      <c r="F820" s="181"/>
      <c r="G820" s="181"/>
      <c r="H820" s="181"/>
      <c r="I820" s="182"/>
      <c r="J820" s="181"/>
    </row>
    <row r="821" spans="1:10" ht="15.75" customHeight="1">
      <c r="A821" s="180"/>
      <c r="B821" s="181"/>
      <c r="C821" s="181"/>
      <c r="D821" s="181"/>
      <c r="E821" s="181"/>
      <c r="F821" s="181"/>
      <c r="G821" s="181"/>
      <c r="H821" s="181"/>
      <c r="I821" s="182"/>
      <c r="J821" s="181"/>
    </row>
    <row r="822" spans="1:10" ht="15.75" customHeight="1">
      <c r="A822" s="180"/>
      <c r="B822" s="181"/>
      <c r="C822" s="181"/>
      <c r="D822" s="181"/>
      <c r="E822" s="181"/>
      <c r="F822" s="181"/>
      <c r="G822" s="181"/>
      <c r="H822" s="181"/>
      <c r="I822" s="182"/>
      <c r="J822" s="181"/>
    </row>
    <row r="823" spans="1:10" ht="15.75" customHeight="1">
      <c r="A823" s="180"/>
      <c r="B823" s="181"/>
      <c r="C823" s="181"/>
      <c r="D823" s="181"/>
      <c r="E823" s="181"/>
      <c r="F823" s="181"/>
      <c r="G823" s="181"/>
      <c r="H823" s="181"/>
      <c r="I823" s="182"/>
      <c r="J823" s="181"/>
    </row>
    <row r="824" spans="1:10" ht="15.75" customHeight="1">
      <c r="A824" s="180"/>
      <c r="B824" s="181"/>
      <c r="C824" s="181"/>
      <c r="D824" s="181"/>
      <c r="E824" s="181"/>
      <c r="F824" s="181"/>
      <c r="G824" s="181"/>
      <c r="H824" s="181"/>
      <c r="I824" s="182"/>
      <c r="J824" s="181"/>
    </row>
    <row r="825" spans="1:10" ht="15.75" customHeight="1">
      <c r="A825" s="180"/>
      <c r="B825" s="181"/>
      <c r="C825" s="181"/>
      <c r="D825" s="181"/>
      <c r="E825" s="181"/>
      <c r="F825" s="181"/>
      <c r="G825" s="181"/>
      <c r="H825" s="181"/>
      <c r="I825" s="182"/>
      <c r="J825" s="181"/>
    </row>
    <row r="826" spans="1:10" ht="15.75" customHeight="1">
      <c r="A826" s="180"/>
      <c r="B826" s="181"/>
      <c r="C826" s="181"/>
      <c r="D826" s="181"/>
      <c r="E826" s="181"/>
      <c r="F826" s="181"/>
      <c r="G826" s="181"/>
      <c r="H826" s="181"/>
      <c r="I826" s="182"/>
      <c r="J826" s="181"/>
    </row>
    <row r="827" spans="1:10" ht="15.75" customHeight="1">
      <c r="A827" s="180"/>
      <c r="B827" s="181"/>
      <c r="C827" s="181"/>
      <c r="D827" s="181"/>
      <c r="E827" s="181"/>
      <c r="F827" s="181"/>
      <c r="G827" s="181"/>
      <c r="H827" s="181"/>
      <c r="I827" s="182"/>
      <c r="J827" s="181"/>
    </row>
    <row r="828" spans="1:10" ht="15.75" customHeight="1">
      <c r="A828" s="180"/>
      <c r="B828" s="181"/>
      <c r="C828" s="181"/>
      <c r="D828" s="181"/>
      <c r="E828" s="181"/>
      <c r="F828" s="181"/>
      <c r="G828" s="181"/>
      <c r="H828" s="181"/>
      <c r="I828" s="182"/>
      <c r="J828" s="181"/>
    </row>
    <row r="829" spans="1:10" ht="15.75" customHeight="1">
      <c r="A829" s="180"/>
      <c r="B829" s="181"/>
      <c r="C829" s="181"/>
      <c r="D829" s="181"/>
      <c r="E829" s="181"/>
      <c r="F829" s="181"/>
      <c r="G829" s="181"/>
      <c r="H829" s="181"/>
      <c r="I829" s="182"/>
      <c r="J829" s="181"/>
    </row>
    <row r="830" spans="1:10" ht="15.75" customHeight="1">
      <c r="A830" s="180"/>
      <c r="B830" s="181"/>
      <c r="C830" s="181"/>
      <c r="D830" s="181"/>
      <c r="E830" s="181"/>
      <c r="F830" s="181"/>
      <c r="G830" s="181"/>
      <c r="H830" s="181"/>
      <c r="I830" s="182"/>
      <c r="J830" s="181"/>
    </row>
    <row r="831" spans="1:10" ht="15.75" customHeight="1">
      <c r="A831" s="180"/>
      <c r="B831" s="181"/>
      <c r="C831" s="181"/>
      <c r="D831" s="181"/>
      <c r="E831" s="181"/>
      <c r="F831" s="181"/>
      <c r="G831" s="181"/>
      <c r="H831" s="181"/>
      <c r="I831" s="182"/>
      <c r="J831" s="181"/>
    </row>
    <row r="832" spans="1:10" ht="15.75" customHeight="1">
      <c r="A832" s="183"/>
      <c r="B832" s="184"/>
      <c r="C832" s="184"/>
      <c r="D832" s="184"/>
      <c r="E832" s="184"/>
      <c r="F832" s="184"/>
      <c r="G832" s="184"/>
      <c r="H832" s="184"/>
      <c r="I832" s="185"/>
      <c r="J832" s="184"/>
    </row>
  </sheetData>
  <dataValidations count="3">
    <dataValidation type="list" allowBlank="1" sqref="H2:H10" xr:uid="{00000000-0002-0000-0400-000000000000}">
      <formula1>#REF!</formula1>
    </dataValidation>
    <dataValidation type="custom" allowBlank="1" showDropDown="1" sqref="G2:G10 I2:I10" xr:uid="{00000000-0002-0000-0400-000001000000}">
      <formula1>OR(NOT(ISERROR(DATEVALUE(G2))), AND(ISNUMBER(G2), LEFT(CELL("format", G2))="D"))</formula1>
    </dataValidation>
    <dataValidation allowBlank="1" showDropDown="1" sqref="B2:F10 J2:J10" xr:uid="{00000000-0002-0000-0400-000002000000}"/>
  </dataValidations>
  <pageMargins left="0.75" right="0.75" top="1" bottom="1" header="0" footer="0"/>
  <pageSetup paperSize="9" orientation="portrait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B020"/>
  </sheetPr>
  <dimension ref="A1:L83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9.42578125" customWidth="1"/>
    <col min="2" max="2" width="20" customWidth="1"/>
    <col min="3" max="3" width="28" customWidth="1"/>
    <col min="4" max="4" width="23.85546875" customWidth="1"/>
    <col min="5" max="5" width="16" customWidth="1"/>
    <col min="6" max="6" width="25" customWidth="1"/>
    <col min="7" max="7" width="23" customWidth="1"/>
    <col min="8" max="8" width="26" customWidth="1"/>
    <col min="9" max="9" width="27.5703125" customWidth="1"/>
    <col min="10" max="10" width="23.7109375" customWidth="1"/>
    <col min="11" max="11" width="19.85546875" customWidth="1"/>
    <col min="12" max="12" width="30" customWidth="1"/>
  </cols>
  <sheetData>
    <row r="1" spans="1:12" ht="30" customHeight="1">
      <c r="A1" s="33" t="s">
        <v>13</v>
      </c>
      <c r="B1" s="33" t="s">
        <v>10</v>
      </c>
      <c r="C1" s="33" t="s">
        <v>14</v>
      </c>
      <c r="D1" s="33" t="s">
        <v>15</v>
      </c>
      <c r="E1" s="33" t="s">
        <v>19</v>
      </c>
      <c r="F1" s="33" t="s">
        <v>20</v>
      </c>
      <c r="G1" s="33" t="s">
        <v>1260</v>
      </c>
      <c r="H1" s="33" t="s">
        <v>1261</v>
      </c>
      <c r="I1" s="33" t="s">
        <v>1262</v>
      </c>
      <c r="J1" s="33" t="s">
        <v>1263</v>
      </c>
      <c r="K1" s="33" t="s">
        <v>1264</v>
      </c>
      <c r="L1" s="33" t="s">
        <v>27</v>
      </c>
    </row>
    <row r="2" spans="1:12" ht="19.5" customHeight="1">
      <c r="A2" s="175" t="s">
        <v>1257</v>
      </c>
      <c r="B2" s="36" t="s">
        <v>255</v>
      </c>
      <c r="C2" s="36" t="s">
        <v>256</v>
      </c>
      <c r="D2" s="36" t="s">
        <v>257</v>
      </c>
      <c r="E2" s="176" t="s">
        <v>1258</v>
      </c>
      <c r="F2" s="36" t="s">
        <v>262</v>
      </c>
      <c r="G2" s="38">
        <v>46162</v>
      </c>
      <c r="H2" s="176" t="s">
        <v>1265</v>
      </c>
      <c r="I2" s="36">
        <v>1300</v>
      </c>
      <c r="J2" s="38">
        <v>46174</v>
      </c>
      <c r="K2" s="36" t="s">
        <v>1266</v>
      </c>
      <c r="L2" s="186"/>
    </row>
    <row r="3" spans="1:12" ht="19.5" customHeight="1">
      <c r="A3" s="178" t="s">
        <v>1259</v>
      </c>
      <c r="B3" s="46" t="s">
        <v>242</v>
      </c>
      <c r="C3" s="46" t="s">
        <v>619</v>
      </c>
      <c r="D3" s="46" t="s">
        <v>620</v>
      </c>
      <c r="E3" s="46" t="s">
        <v>622</v>
      </c>
      <c r="F3" s="46" t="s">
        <v>623</v>
      </c>
      <c r="G3" s="44"/>
      <c r="H3" s="46" t="s">
        <v>1267</v>
      </c>
      <c r="I3" s="39">
        <v>1750</v>
      </c>
      <c r="J3" s="44"/>
      <c r="K3" s="39" t="s">
        <v>39</v>
      </c>
      <c r="L3" s="187"/>
    </row>
    <row r="4" spans="1:12" ht="19.5" customHeight="1">
      <c r="A4" s="178"/>
      <c r="B4" s="46"/>
      <c r="C4" s="46"/>
      <c r="D4" s="46"/>
      <c r="E4" s="46"/>
      <c r="F4" s="46"/>
      <c r="G4" s="44"/>
      <c r="H4" s="46"/>
      <c r="I4" s="39"/>
      <c r="J4" s="44"/>
      <c r="K4" s="39"/>
      <c r="L4" s="187"/>
    </row>
    <row r="5" spans="1:12" ht="19.5" customHeight="1">
      <c r="A5" s="178"/>
      <c r="B5" s="46"/>
      <c r="C5" s="46"/>
      <c r="D5" s="46"/>
      <c r="E5" s="46"/>
      <c r="F5" s="46"/>
      <c r="G5" s="44"/>
      <c r="H5" s="46"/>
      <c r="I5" s="39"/>
      <c r="J5" s="44"/>
      <c r="K5" s="39"/>
      <c r="L5" s="187"/>
    </row>
    <row r="6" spans="1:12" ht="19.5" customHeight="1">
      <c r="A6" s="178"/>
      <c r="B6" s="46"/>
      <c r="C6" s="46"/>
      <c r="D6" s="46"/>
      <c r="E6" s="46"/>
      <c r="F6" s="46"/>
      <c r="G6" s="44"/>
      <c r="H6" s="46"/>
      <c r="I6" s="39"/>
      <c r="J6" s="44"/>
      <c r="K6" s="39"/>
      <c r="L6" s="187"/>
    </row>
    <row r="7" spans="1:12" ht="19.5" customHeight="1">
      <c r="A7" s="178"/>
      <c r="B7" s="46"/>
      <c r="C7" s="46"/>
      <c r="D7" s="46"/>
      <c r="E7" s="46"/>
      <c r="F7" s="46"/>
      <c r="G7" s="44"/>
      <c r="H7" s="46"/>
      <c r="I7" s="39"/>
      <c r="J7" s="44"/>
      <c r="K7" s="39"/>
      <c r="L7" s="187"/>
    </row>
    <row r="8" spans="1:12" ht="19.5" customHeight="1">
      <c r="A8" s="178"/>
      <c r="B8" s="46"/>
      <c r="C8" s="46"/>
      <c r="D8" s="46"/>
      <c r="E8" s="46"/>
      <c r="F8" s="46"/>
      <c r="G8" s="44"/>
      <c r="H8" s="46"/>
      <c r="I8" s="39"/>
      <c r="J8" s="44"/>
      <c r="K8" s="39"/>
      <c r="L8" s="187"/>
    </row>
    <row r="9" spans="1:12" ht="19.5" customHeight="1">
      <c r="A9" s="178"/>
      <c r="B9" s="46"/>
      <c r="C9" s="46"/>
      <c r="D9" s="46"/>
      <c r="E9" s="46"/>
      <c r="F9" s="46"/>
      <c r="G9" s="44"/>
      <c r="H9" s="46"/>
      <c r="I9" s="39"/>
      <c r="J9" s="44"/>
      <c r="K9" s="39"/>
      <c r="L9" s="187"/>
    </row>
    <row r="10" spans="1:12" ht="19.5" customHeight="1">
      <c r="A10" s="178"/>
      <c r="B10" s="46"/>
      <c r="C10" s="46"/>
      <c r="D10" s="46"/>
      <c r="E10" s="46"/>
      <c r="F10" s="46"/>
      <c r="G10" s="44"/>
      <c r="H10" s="46"/>
      <c r="I10" s="39"/>
      <c r="J10" s="44"/>
      <c r="K10" s="39"/>
      <c r="L10" s="187"/>
    </row>
    <row r="11" spans="1:12" ht="15.75" customHeigh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2"/>
    </row>
    <row r="12" spans="1:12" ht="15.75" customHeigh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2"/>
    </row>
    <row r="13" spans="1:12" ht="15.75" customHeigh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2"/>
    </row>
    <row r="14" spans="1:12" ht="15.75" customHeigh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2"/>
    </row>
    <row r="15" spans="1:12" ht="15.75" customHeigh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2"/>
    </row>
    <row r="16" spans="1:12" ht="15.75" customHeigh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2"/>
    </row>
    <row r="17" spans="1:12" ht="15.75" customHeigh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2"/>
    </row>
    <row r="18" spans="1:12" ht="15.75" customHeigh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2"/>
    </row>
    <row r="19" spans="1:12" ht="15.75" customHeigh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2"/>
    </row>
    <row r="20" spans="1:12" ht="15.75" customHeigh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2"/>
    </row>
    <row r="21" spans="1:12" ht="15.75" customHeigh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2"/>
    </row>
    <row r="22" spans="1:12" ht="15.75" customHeigh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2"/>
    </row>
    <row r="23" spans="1:12" ht="15.75" customHeigh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2"/>
    </row>
    <row r="24" spans="1:12" ht="15.75" customHeigh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2"/>
    </row>
    <row r="25" spans="1:12" ht="15.75" customHeigh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2"/>
    </row>
    <row r="26" spans="1:12" ht="15.75" customHeigh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2"/>
    </row>
    <row r="27" spans="1:12" ht="15.75" customHeigh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2"/>
    </row>
    <row r="28" spans="1:12" ht="15.75" customHeigh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2"/>
    </row>
    <row r="29" spans="1:12" ht="15.75" customHeigh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2"/>
    </row>
    <row r="30" spans="1:12" ht="15.75" customHeigh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2"/>
    </row>
    <row r="31" spans="1:12" ht="15.75" customHeigh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2"/>
    </row>
    <row r="32" spans="1:12" ht="15.75" customHeigh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2"/>
    </row>
    <row r="33" spans="1:12" ht="15.75" customHeigh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2"/>
    </row>
    <row r="34" spans="1:12" ht="15.75" customHeigh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2"/>
    </row>
    <row r="35" spans="1:12" ht="15.75" customHeigh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2"/>
    </row>
    <row r="36" spans="1:12" ht="15.75" customHeigh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2"/>
    </row>
    <row r="37" spans="1:12" ht="15.75" customHeigh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2"/>
    </row>
    <row r="38" spans="1:12" ht="15.75" customHeigh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2"/>
    </row>
    <row r="39" spans="1:12" ht="15.75" customHeigh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2"/>
    </row>
    <row r="40" spans="1:12" ht="15.75" customHeigh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2"/>
    </row>
    <row r="41" spans="1:12" ht="15.75" customHeigh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2"/>
    </row>
    <row r="42" spans="1:12" ht="15.75" customHeigh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2"/>
    </row>
    <row r="43" spans="1:12" ht="15.75" customHeigh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2"/>
    </row>
    <row r="44" spans="1:12" ht="15.75" customHeigh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2"/>
    </row>
    <row r="45" spans="1:12" ht="15.75" customHeigh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2"/>
    </row>
    <row r="46" spans="1:12" ht="15.75" customHeigh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2"/>
    </row>
    <row r="47" spans="1:12" ht="15.75" customHeigh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2"/>
    </row>
    <row r="48" spans="1:12" ht="15.75" customHeigh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2"/>
    </row>
    <row r="49" spans="1:12" ht="15.75" customHeigh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</row>
    <row r="50" spans="1:12" ht="15.75" customHeigh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2"/>
    </row>
    <row r="51" spans="1:12" ht="15.75" customHeigh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2"/>
    </row>
    <row r="52" spans="1:12" ht="15.75" customHeigh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2"/>
    </row>
    <row r="53" spans="1:12" ht="15.75" customHeigh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2"/>
    </row>
    <row r="54" spans="1:12" ht="15.75" customHeigh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2"/>
    </row>
    <row r="55" spans="1:12" ht="15.75" customHeigh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2"/>
    </row>
    <row r="56" spans="1:12" ht="15.75" customHeigh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2"/>
    </row>
    <row r="57" spans="1:12" ht="15.75" customHeigh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2"/>
    </row>
    <row r="58" spans="1:12" ht="15.75" customHeigh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2"/>
    </row>
    <row r="59" spans="1:12" ht="15.75" customHeigh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2"/>
    </row>
    <row r="60" spans="1:12" ht="15.75" customHeigh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2"/>
    </row>
    <row r="61" spans="1:12" ht="15.75" customHeigh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2"/>
    </row>
    <row r="62" spans="1:12" ht="15.75" customHeigh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2"/>
    </row>
    <row r="63" spans="1:12" ht="15.75" customHeigh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2"/>
    </row>
    <row r="64" spans="1:12" ht="15.75" customHeigh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2"/>
    </row>
    <row r="65" spans="1:12" ht="15.75" customHeigh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2"/>
    </row>
    <row r="66" spans="1:12" ht="15.75" customHeigh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2"/>
    </row>
    <row r="67" spans="1:12" ht="15.75" customHeigh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2"/>
    </row>
    <row r="68" spans="1:12" ht="15.75" customHeigh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2"/>
    </row>
    <row r="69" spans="1:12" ht="15.75" customHeigh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2"/>
    </row>
    <row r="70" spans="1:12" ht="15.75" customHeigh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2"/>
    </row>
    <row r="71" spans="1:12" ht="15.75" customHeigh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2"/>
    </row>
    <row r="72" spans="1:12" ht="15.75" customHeigh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2"/>
    </row>
    <row r="73" spans="1:12" ht="15.75" customHeigh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2"/>
    </row>
    <row r="74" spans="1:12" ht="15.75" customHeigh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2"/>
    </row>
    <row r="75" spans="1:12" ht="15.75" customHeigh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2"/>
    </row>
    <row r="76" spans="1:12" ht="15.75" customHeigh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2"/>
    </row>
    <row r="77" spans="1:12" ht="15.75" customHeigh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2"/>
    </row>
    <row r="78" spans="1:12" ht="15.75" customHeigh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2"/>
    </row>
    <row r="79" spans="1:12" ht="15.75" customHeight="1">
      <c r="A79" s="180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2"/>
    </row>
    <row r="80" spans="1:12" ht="15.75" customHeigh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2"/>
    </row>
    <row r="81" spans="1:12" ht="15.75" customHeigh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2"/>
    </row>
    <row r="82" spans="1:12" ht="15.75" customHeight="1">
      <c r="A82" s="180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2"/>
    </row>
    <row r="83" spans="1:12" ht="15.75" customHeigh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2"/>
    </row>
    <row r="84" spans="1:12" ht="15.75" customHeigh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2"/>
    </row>
    <row r="85" spans="1:12" ht="15.75" customHeigh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2"/>
    </row>
    <row r="86" spans="1:12" ht="15.75" customHeigh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2"/>
    </row>
    <row r="87" spans="1:12" ht="15.75" customHeigh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2"/>
    </row>
    <row r="88" spans="1:12" ht="15.75" customHeigh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2"/>
    </row>
    <row r="89" spans="1:12" ht="15.75" customHeigh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2"/>
    </row>
    <row r="90" spans="1:12" ht="15.75" customHeigh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2"/>
    </row>
    <row r="91" spans="1:12" ht="15.75" customHeigh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2"/>
    </row>
    <row r="92" spans="1:12" ht="15.75" customHeigh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2"/>
    </row>
    <row r="93" spans="1:12" ht="15.75" customHeigh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2"/>
    </row>
    <row r="94" spans="1:12" ht="15.75" customHeigh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2"/>
    </row>
    <row r="95" spans="1:12" ht="15.75" customHeigh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2"/>
    </row>
    <row r="96" spans="1:12" ht="15.75" customHeigh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2"/>
    </row>
    <row r="97" spans="1:12" ht="15.75" customHeigh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2"/>
    </row>
    <row r="98" spans="1:12" ht="15.75" customHeigh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2"/>
    </row>
    <row r="99" spans="1:12" ht="15.75" customHeigh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2"/>
    </row>
    <row r="100" spans="1:12" ht="15.75" customHeigh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2"/>
    </row>
    <row r="101" spans="1:12" ht="15.75" customHeigh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2"/>
    </row>
    <row r="102" spans="1:12" ht="15.75" customHeigh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2"/>
    </row>
    <row r="103" spans="1:12" ht="15.75" customHeigh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2"/>
    </row>
    <row r="104" spans="1:12" ht="15.75" customHeigh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2"/>
    </row>
    <row r="105" spans="1:12" ht="15.75" customHeight="1">
      <c r="A105" s="180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2"/>
    </row>
    <row r="106" spans="1:12" ht="15.75" customHeight="1">
      <c r="A106" s="180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2"/>
    </row>
    <row r="107" spans="1:12" ht="15.75" customHeight="1">
      <c r="A107" s="180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2"/>
    </row>
    <row r="108" spans="1:12" ht="15.75" customHeight="1">
      <c r="A108" s="180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2"/>
    </row>
    <row r="109" spans="1:12" ht="15.75" customHeight="1">
      <c r="A109" s="180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2"/>
    </row>
    <row r="110" spans="1:12" ht="15.75" customHeight="1">
      <c r="A110" s="180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2"/>
    </row>
    <row r="111" spans="1:12" ht="15.75" customHeight="1">
      <c r="A111" s="180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2"/>
    </row>
    <row r="112" spans="1:12" ht="15.75" customHeight="1">
      <c r="A112" s="180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2"/>
    </row>
    <row r="113" spans="1:12" ht="15.75" customHeight="1">
      <c r="A113" s="180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2"/>
    </row>
    <row r="114" spans="1:12" ht="15.75" customHeight="1">
      <c r="A114" s="180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2"/>
    </row>
    <row r="115" spans="1:12" ht="15.75" customHeight="1">
      <c r="A115" s="180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2"/>
    </row>
    <row r="116" spans="1:12" ht="15.75" customHeight="1">
      <c r="A116" s="180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2"/>
    </row>
    <row r="117" spans="1:12" ht="15.75" customHeight="1">
      <c r="A117" s="180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2"/>
    </row>
    <row r="118" spans="1:12" ht="15.75" customHeight="1">
      <c r="A118" s="180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2"/>
    </row>
    <row r="119" spans="1:12" ht="15.75" customHeight="1">
      <c r="A119" s="180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2"/>
    </row>
    <row r="120" spans="1:12" ht="15.75" customHeight="1">
      <c r="A120" s="180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2"/>
    </row>
    <row r="121" spans="1:12" ht="15.75" customHeight="1">
      <c r="A121" s="180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2"/>
    </row>
    <row r="122" spans="1:12" ht="15.75" customHeight="1">
      <c r="A122" s="180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2"/>
    </row>
    <row r="123" spans="1:12" ht="15.75" customHeight="1">
      <c r="A123" s="180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2"/>
    </row>
    <row r="124" spans="1:12" ht="15.75" customHeight="1">
      <c r="A124" s="180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2"/>
    </row>
    <row r="125" spans="1:12" ht="15.75" customHeight="1">
      <c r="A125" s="180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2"/>
    </row>
    <row r="126" spans="1:12" ht="15.75" customHeight="1">
      <c r="A126" s="180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2"/>
    </row>
    <row r="127" spans="1:12" ht="15.75" customHeight="1">
      <c r="A127" s="180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2"/>
    </row>
    <row r="128" spans="1:12" ht="15.75" customHeight="1">
      <c r="A128" s="180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2"/>
    </row>
    <row r="129" spans="1:12" ht="15.75" customHeight="1">
      <c r="A129" s="180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2"/>
    </row>
    <row r="130" spans="1:12" ht="15.75" customHeight="1">
      <c r="A130" s="180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2"/>
    </row>
    <row r="131" spans="1:12" ht="15.75" customHeight="1">
      <c r="A131" s="180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2"/>
    </row>
    <row r="132" spans="1:12" ht="15.75" customHeight="1">
      <c r="A132" s="180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2"/>
    </row>
    <row r="133" spans="1:12" ht="15.75" customHeight="1">
      <c r="A133" s="180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2"/>
    </row>
    <row r="134" spans="1:12" ht="15.75" customHeight="1">
      <c r="A134" s="180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2"/>
    </row>
    <row r="135" spans="1:12" ht="15.75" customHeight="1">
      <c r="A135" s="180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2"/>
    </row>
    <row r="136" spans="1:12" ht="15.75" customHeight="1">
      <c r="A136" s="180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2"/>
    </row>
    <row r="137" spans="1:12" ht="15.75" customHeight="1">
      <c r="A137" s="180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2"/>
    </row>
    <row r="138" spans="1:12" ht="15.75" customHeight="1">
      <c r="A138" s="180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2"/>
    </row>
    <row r="139" spans="1:12" ht="15.75" customHeight="1">
      <c r="A139" s="180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2"/>
    </row>
    <row r="140" spans="1:12" ht="15.75" customHeight="1">
      <c r="A140" s="180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2"/>
    </row>
    <row r="141" spans="1:12" ht="15.75" customHeight="1">
      <c r="A141" s="180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2"/>
    </row>
    <row r="142" spans="1:12" ht="15.75" customHeight="1">
      <c r="A142" s="180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2"/>
    </row>
    <row r="143" spans="1:12" ht="15.75" customHeight="1">
      <c r="A143" s="180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2"/>
    </row>
    <row r="144" spans="1:12" ht="15.75" customHeight="1">
      <c r="A144" s="180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2"/>
    </row>
    <row r="145" spans="1:12" ht="15.75" customHeight="1">
      <c r="A145" s="180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2"/>
    </row>
    <row r="146" spans="1:12" ht="15.75" customHeight="1">
      <c r="A146" s="180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2"/>
    </row>
    <row r="147" spans="1:12" ht="15.75" customHeight="1">
      <c r="A147" s="180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2"/>
    </row>
    <row r="148" spans="1:12" ht="15.75" customHeight="1">
      <c r="A148" s="180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2"/>
    </row>
    <row r="149" spans="1:12" ht="15.75" customHeight="1">
      <c r="A149" s="180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2"/>
    </row>
    <row r="150" spans="1:12" ht="15.75" customHeight="1">
      <c r="A150" s="180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2"/>
    </row>
    <row r="151" spans="1:12" ht="15.75" customHeight="1">
      <c r="A151" s="180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2"/>
    </row>
    <row r="152" spans="1:12" ht="15.75" customHeight="1">
      <c r="A152" s="180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2"/>
    </row>
    <row r="153" spans="1:12" ht="15.75" customHeight="1">
      <c r="A153" s="180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2"/>
    </row>
    <row r="154" spans="1:12" ht="15.75" customHeight="1">
      <c r="A154" s="180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2"/>
    </row>
    <row r="155" spans="1:12" ht="15.75" customHeight="1">
      <c r="A155" s="180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2"/>
    </row>
    <row r="156" spans="1:12" ht="15.75" customHeight="1">
      <c r="A156" s="180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2"/>
    </row>
    <row r="157" spans="1:12" ht="15.75" customHeight="1">
      <c r="A157" s="180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2"/>
    </row>
    <row r="158" spans="1:12" ht="15.75" customHeight="1">
      <c r="A158" s="180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2"/>
    </row>
    <row r="159" spans="1:12" ht="15.75" customHeight="1">
      <c r="A159" s="180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2"/>
    </row>
    <row r="160" spans="1:12" ht="15.75" customHeight="1">
      <c r="A160" s="180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2"/>
    </row>
    <row r="161" spans="1:12" ht="15.75" customHeight="1">
      <c r="A161" s="180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2"/>
    </row>
    <row r="162" spans="1:12" ht="15.75" customHeight="1">
      <c r="A162" s="180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2"/>
    </row>
    <row r="163" spans="1:12" ht="15.75" customHeight="1">
      <c r="A163" s="180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2"/>
    </row>
    <row r="164" spans="1:12" ht="15.75" customHeight="1">
      <c r="A164" s="180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2"/>
    </row>
    <row r="165" spans="1:12" ht="15.75" customHeight="1">
      <c r="A165" s="180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2"/>
    </row>
    <row r="166" spans="1:12" ht="15.75" customHeight="1">
      <c r="A166" s="180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2"/>
    </row>
    <row r="167" spans="1:12" ht="15.75" customHeight="1">
      <c r="A167" s="180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2"/>
    </row>
    <row r="168" spans="1:12" ht="15.75" customHeight="1">
      <c r="A168" s="180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2"/>
    </row>
    <row r="169" spans="1:12" ht="15.75" customHeight="1">
      <c r="A169" s="180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2"/>
    </row>
    <row r="170" spans="1:12" ht="15.75" customHeight="1">
      <c r="A170" s="180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2"/>
    </row>
    <row r="171" spans="1:12" ht="15.75" customHeight="1">
      <c r="A171" s="180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2"/>
    </row>
    <row r="172" spans="1:12" ht="15.75" customHeight="1">
      <c r="A172" s="180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2"/>
    </row>
    <row r="173" spans="1:12" ht="15.75" customHeight="1">
      <c r="A173" s="180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2"/>
    </row>
    <row r="174" spans="1:12" ht="15.75" customHeight="1">
      <c r="A174" s="180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2"/>
    </row>
    <row r="175" spans="1:12" ht="15.75" customHeight="1">
      <c r="A175" s="180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2"/>
    </row>
    <row r="176" spans="1:12" ht="15.75" customHeight="1">
      <c r="A176" s="180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2"/>
    </row>
    <row r="177" spans="1:12" ht="15.75" customHeight="1">
      <c r="A177" s="180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2"/>
    </row>
    <row r="178" spans="1:12" ht="15.75" customHeight="1">
      <c r="A178" s="180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2"/>
    </row>
    <row r="179" spans="1:12" ht="15.75" customHeight="1">
      <c r="A179" s="180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2"/>
    </row>
    <row r="180" spans="1:12" ht="15.75" customHeight="1">
      <c r="A180" s="180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2"/>
    </row>
    <row r="181" spans="1:12" ht="15.75" customHeight="1">
      <c r="A181" s="180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2"/>
    </row>
    <row r="182" spans="1:12" ht="15.75" customHeight="1">
      <c r="A182" s="180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2"/>
    </row>
    <row r="183" spans="1:12" ht="15.75" customHeight="1">
      <c r="A183" s="180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2"/>
    </row>
    <row r="184" spans="1:12" ht="15.75" customHeight="1">
      <c r="A184" s="180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2"/>
    </row>
    <row r="185" spans="1:12" ht="15.75" customHeight="1">
      <c r="A185" s="180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2"/>
    </row>
    <row r="186" spans="1:12" ht="15.75" customHeight="1">
      <c r="A186" s="180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2"/>
    </row>
    <row r="187" spans="1:12" ht="15.75" customHeight="1">
      <c r="A187" s="180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2"/>
    </row>
    <row r="188" spans="1:12" ht="15.75" customHeight="1">
      <c r="A188" s="180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2"/>
    </row>
    <row r="189" spans="1:12" ht="15.75" customHeight="1">
      <c r="A189" s="180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2"/>
    </row>
    <row r="190" spans="1:12" ht="15.75" customHeight="1">
      <c r="A190" s="180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2"/>
    </row>
    <row r="191" spans="1:12" ht="15.75" customHeight="1">
      <c r="A191" s="180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2"/>
    </row>
    <row r="192" spans="1:12" ht="15.75" customHeight="1">
      <c r="A192" s="180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2"/>
    </row>
    <row r="193" spans="1:12" ht="15.75" customHeight="1">
      <c r="A193" s="180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2"/>
    </row>
    <row r="194" spans="1:12" ht="15.75" customHeight="1">
      <c r="A194" s="180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2"/>
    </row>
    <row r="195" spans="1:12" ht="15.75" customHeight="1">
      <c r="A195" s="180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2"/>
    </row>
    <row r="196" spans="1:12" ht="15.75" customHeight="1">
      <c r="A196" s="180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2"/>
    </row>
    <row r="197" spans="1:12" ht="15.75" customHeight="1">
      <c r="A197" s="180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2"/>
    </row>
    <row r="198" spans="1:12" ht="15.75" customHeight="1">
      <c r="A198" s="180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2"/>
    </row>
    <row r="199" spans="1:12" ht="15.75" customHeight="1">
      <c r="A199" s="180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2"/>
    </row>
    <row r="200" spans="1:12" ht="15.75" customHeight="1">
      <c r="A200" s="180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2"/>
    </row>
    <row r="201" spans="1:12" ht="15.75" customHeight="1">
      <c r="A201" s="180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2"/>
    </row>
    <row r="202" spans="1:12" ht="15.75" customHeight="1">
      <c r="A202" s="180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2"/>
    </row>
    <row r="203" spans="1:12" ht="15.75" customHeight="1">
      <c r="A203" s="180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2"/>
    </row>
    <row r="204" spans="1:12" ht="15.75" customHeight="1">
      <c r="A204" s="180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2"/>
    </row>
    <row r="205" spans="1:12" ht="15.75" customHeight="1">
      <c r="A205" s="180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2"/>
    </row>
    <row r="206" spans="1:12" ht="15.75" customHeight="1">
      <c r="A206" s="180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2"/>
    </row>
    <row r="207" spans="1:12" ht="15.75" customHeight="1">
      <c r="A207" s="180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2"/>
    </row>
    <row r="208" spans="1:12" ht="15.75" customHeight="1">
      <c r="A208" s="180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2"/>
    </row>
    <row r="209" spans="1:12" ht="15.75" customHeight="1">
      <c r="A209" s="180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2"/>
    </row>
    <row r="210" spans="1:12" ht="15.75" customHeight="1">
      <c r="A210" s="180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2"/>
    </row>
    <row r="211" spans="1:12" ht="15.75" customHeight="1">
      <c r="A211" s="180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2"/>
    </row>
    <row r="212" spans="1:12" ht="15.75" customHeight="1">
      <c r="A212" s="180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2"/>
    </row>
    <row r="213" spans="1:12" ht="15.75" customHeight="1">
      <c r="A213" s="180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2"/>
    </row>
    <row r="214" spans="1:12" ht="15.75" customHeight="1">
      <c r="A214" s="180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2"/>
    </row>
    <row r="215" spans="1:12" ht="15.75" customHeight="1">
      <c r="A215" s="180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2"/>
    </row>
    <row r="216" spans="1:12" ht="15.75" customHeight="1">
      <c r="A216" s="180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2"/>
    </row>
    <row r="217" spans="1:12" ht="15.75" customHeight="1">
      <c r="A217" s="180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2"/>
    </row>
    <row r="218" spans="1:12" ht="15.75" customHeight="1">
      <c r="A218" s="180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2"/>
    </row>
    <row r="219" spans="1:12" ht="15.75" customHeight="1">
      <c r="A219" s="180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2"/>
    </row>
    <row r="220" spans="1:12" ht="15.75" customHeight="1">
      <c r="A220" s="180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2"/>
    </row>
    <row r="221" spans="1:12" ht="15.75" customHeight="1">
      <c r="A221" s="180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2"/>
    </row>
    <row r="222" spans="1:12" ht="15.75" customHeight="1">
      <c r="A222" s="180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2"/>
    </row>
    <row r="223" spans="1:12" ht="15.75" customHeight="1">
      <c r="A223" s="180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2"/>
    </row>
    <row r="224" spans="1:12" ht="15.75" customHeight="1">
      <c r="A224" s="180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2"/>
    </row>
    <row r="225" spans="1:12" ht="15.75" customHeight="1">
      <c r="A225" s="180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2"/>
    </row>
    <row r="226" spans="1:12" ht="15.75" customHeight="1">
      <c r="A226" s="180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2"/>
    </row>
    <row r="227" spans="1:12" ht="15.75" customHeight="1">
      <c r="A227" s="180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2"/>
    </row>
    <row r="228" spans="1:12" ht="15.75" customHeight="1">
      <c r="A228" s="180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2"/>
    </row>
    <row r="229" spans="1:12" ht="15.75" customHeight="1">
      <c r="A229" s="180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2"/>
    </row>
    <row r="230" spans="1:12" ht="15.75" customHeight="1">
      <c r="A230" s="180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2"/>
    </row>
    <row r="231" spans="1:12" ht="15.75" customHeight="1">
      <c r="A231" s="180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2"/>
    </row>
    <row r="232" spans="1:12" ht="15.75" customHeight="1">
      <c r="A232" s="180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2"/>
    </row>
    <row r="233" spans="1:12" ht="15.75" customHeight="1">
      <c r="A233" s="180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2"/>
    </row>
    <row r="234" spans="1:12" ht="15.75" customHeight="1">
      <c r="A234" s="180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2"/>
    </row>
    <row r="235" spans="1:12" ht="15.75" customHeight="1">
      <c r="A235" s="180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2"/>
    </row>
    <row r="236" spans="1:12" ht="15.75" customHeight="1">
      <c r="A236" s="180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2"/>
    </row>
    <row r="237" spans="1:12" ht="15.75" customHeight="1">
      <c r="A237" s="180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2"/>
    </row>
    <row r="238" spans="1:12" ht="15.75" customHeight="1">
      <c r="A238" s="180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2"/>
    </row>
    <row r="239" spans="1:12" ht="15.75" customHeight="1">
      <c r="A239" s="180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2"/>
    </row>
    <row r="240" spans="1:12" ht="15.75" customHeight="1">
      <c r="A240" s="180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2"/>
    </row>
    <row r="241" spans="1:12" ht="15.75" customHeight="1">
      <c r="A241" s="180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2"/>
    </row>
    <row r="242" spans="1:12" ht="15.75" customHeight="1">
      <c r="A242" s="180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2"/>
    </row>
    <row r="243" spans="1:12" ht="15.75" customHeight="1">
      <c r="A243" s="180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2"/>
    </row>
    <row r="244" spans="1:12" ht="15.75" customHeight="1">
      <c r="A244" s="180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2"/>
    </row>
    <row r="245" spans="1:12" ht="15.75" customHeight="1">
      <c r="A245" s="180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2"/>
    </row>
    <row r="246" spans="1:12" ht="15.75" customHeight="1">
      <c r="A246" s="180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2"/>
    </row>
    <row r="247" spans="1:12" ht="15.75" customHeight="1">
      <c r="A247" s="180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2"/>
    </row>
    <row r="248" spans="1:12" ht="15.75" customHeight="1">
      <c r="A248" s="180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2"/>
    </row>
    <row r="249" spans="1:12" ht="15.75" customHeight="1">
      <c r="A249" s="180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2"/>
    </row>
    <row r="250" spans="1:12" ht="15.75" customHeight="1">
      <c r="A250" s="180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2"/>
    </row>
    <row r="251" spans="1:12" ht="15.75" customHeight="1">
      <c r="A251" s="180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2"/>
    </row>
    <row r="252" spans="1:12" ht="15.75" customHeight="1">
      <c r="A252" s="180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2"/>
    </row>
    <row r="253" spans="1:12" ht="15.75" customHeight="1">
      <c r="A253" s="180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2"/>
    </row>
    <row r="254" spans="1:12" ht="15.75" customHeight="1">
      <c r="A254" s="180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2"/>
    </row>
    <row r="255" spans="1:12" ht="15.75" customHeight="1">
      <c r="A255" s="180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2"/>
    </row>
    <row r="256" spans="1:12" ht="15.75" customHeight="1">
      <c r="A256" s="180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2"/>
    </row>
    <row r="257" spans="1:12" ht="15.75" customHeight="1">
      <c r="A257" s="180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2"/>
    </row>
    <row r="258" spans="1:12" ht="15.75" customHeight="1">
      <c r="A258" s="180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2"/>
    </row>
    <row r="259" spans="1:12" ht="15.75" customHeight="1">
      <c r="A259" s="180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2"/>
    </row>
    <row r="260" spans="1:12" ht="15.75" customHeight="1">
      <c r="A260" s="180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2"/>
    </row>
    <row r="261" spans="1:12" ht="15.75" customHeight="1">
      <c r="A261" s="180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2"/>
    </row>
    <row r="262" spans="1:12" ht="15.75" customHeight="1">
      <c r="A262" s="180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2"/>
    </row>
    <row r="263" spans="1:12" ht="15.75" customHeight="1">
      <c r="A263" s="180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2"/>
    </row>
    <row r="264" spans="1:12" ht="15.75" customHeight="1">
      <c r="A264" s="180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2"/>
    </row>
    <row r="265" spans="1:12" ht="15.75" customHeight="1">
      <c r="A265" s="180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2"/>
    </row>
    <row r="266" spans="1:12" ht="15.75" customHeight="1">
      <c r="A266" s="180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2"/>
    </row>
    <row r="267" spans="1:12" ht="15.75" customHeight="1">
      <c r="A267" s="180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2"/>
    </row>
    <row r="268" spans="1:12" ht="15.75" customHeight="1">
      <c r="A268" s="180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2"/>
    </row>
    <row r="269" spans="1:12" ht="15.75" customHeight="1">
      <c r="A269" s="180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2"/>
    </row>
    <row r="270" spans="1:12" ht="15.75" customHeight="1">
      <c r="A270" s="180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2"/>
    </row>
    <row r="271" spans="1:12" ht="15.75" customHeight="1">
      <c r="A271" s="180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2"/>
    </row>
    <row r="272" spans="1:12" ht="15.75" customHeight="1">
      <c r="A272" s="180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2"/>
    </row>
    <row r="273" spans="1:12" ht="15.75" customHeight="1">
      <c r="A273" s="180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2"/>
    </row>
    <row r="274" spans="1:12" ht="15.75" customHeight="1">
      <c r="A274" s="180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2"/>
    </row>
    <row r="275" spans="1:12" ht="15.75" customHeight="1">
      <c r="A275" s="180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2"/>
    </row>
    <row r="276" spans="1:12" ht="15.75" customHeight="1">
      <c r="A276" s="180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2"/>
    </row>
    <row r="277" spans="1:12" ht="15.75" customHeight="1">
      <c r="A277" s="180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2"/>
    </row>
    <row r="278" spans="1:12" ht="15.75" customHeight="1">
      <c r="A278" s="180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2"/>
    </row>
    <row r="279" spans="1:12" ht="15.75" customHeight="1">
      <c r="A279" s="180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2"/>
    </row>
    <row r="280" spans="1:12" ht="15.75" customHeight="1">
      <c r="A280" s="180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2"/>
    </row>
    <row r="281" spans="1:12" ht="15.75" customHeight="1">
      <c r="A281" s="180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2"/>
    </row>
    <row r="282" spans="1:12" ht="15.75" customHeight="1">
      <c r="A282" s="180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2"/>
    </row>
    <row r="283" spans="1:12" ht="15.75" customHeight="1">
      <c r="A283" s="180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2"/>
    </row>
    <row r="284" spans="1:12" ht="15.75" customHeight="1">
      <c r="A284" s="180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2"/>
    </row>
    <row r="285" spans="1:12" ht="15.75" customHeight="1">
      <c r="A285" s="180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2"/>
    </row>
    <row r="286" spans="1:12" ht="15.75" customHeight="1">
      <c r="A286" s="180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2"/>
    </row>
    <row r="287" spans="1:12" ht="15.75" customHeight="1">
      <c r="A287" s="180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2"/>
    </row>
    <row r="288" spans="1:12" ht="15.75" customHeight="1">
      <c r="A288" s="180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2"/>
    </row>
    <row r="289" spans="1:12" ht="15.75" customHeight="1">
      <c r="A289" s="180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2"/>
    </row>
    <row r="290" spans="1:12" ht="15.75" customHeight="1">
      <c r="A290" s="180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2"/>
    </row>
    <row r="291" spans="1:12" ht="15.75" customHeight="1">
      <c r="A291" s="180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2"/>
    </row>
    <row r="292" spans="1:12" ht="15.75" customHeight="1">
      <c r="A292" s="180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2"/>
    </row>
    <row r="293" spans="1:12" ht="15.75" customHeight="1">
      <c r="A293" s="180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2"/>
    </row>
    <row r="294" spans="1:12" ht="15.75" customHeight="1">
      <c r="A294" s="180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2"/>
    </row>
    <row r="295" spans="1:12" ht="15.75" customHeight="1">
      <c r="A295" s="180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2"/>
    </row>
    <row r="296" spans="1:12" ht="15.75" customHeight="1">
      <c r="A296" s="180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2"/>
    </row>
    <row r="297" spans="1:12" ht="15.75" customHeight="1">
      <c r="A297" s="180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2"/>
    </row>
    <row r="298" spans="1:12" ht="15.75" customHeight="1">
      <c r="A298" s="180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2"/>
    </row>
    <row r="299" spans="1:12" ht="15.75" customHeight="1">
      <c r="A299" s="180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2"/>
    </row>
    <row r="300" spans="1:12" ht="15.75" customHeight="1">
      <c r="A300" s="180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2"/>
    </row>
    <row r="301" spans="1:12" ht="15.75" customHeight="1">
      <c r="A301" s="180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2"/>
    </row>
    <row r="302" spans="1:12" ht="15.75" customHeight="1">
      <c r="A302" s="180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2"/>
    </row>
    <row r="303" spans="1:12" ht="15.75" customHeight="1">
      <c r="A303" s="180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2"/>
    </row>
    <row r="304" spans="1:12" ht="15.75" customHeight="1">
      <c r="A304" s="180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2"/>
    </row>
    <row r="305" spans="1:12" ht="15.75" customHeight="1">
      <c r="A305" s="180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2"/>
    </row>
    <row r="306" spans="1:12" ht="15.75" customHeight="1">
      <c r="A306" s="180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2"/>
    </row>
    <row r="307" spans="1:12" ht="15.75" customHeight="1">
      <c r="A307" s="180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2"/>
    </row>
    <row r="308" spans="1:12" ht="15.75" customHeight="1">
      <c r="A308" s="180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2"/>
    </row>
    <row r="309" spans="1:12" ht="15.75" customHeight="1">
      <c r="A309" s="180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2"/>
    </row>
    <row r="310" spans="1:12" ht="15.75" customHeight="1">
      <c r="A310" s="180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2"/>
    </row>
    <row r="311" spans="1:12" ht="15.75" customHeight="1">
      <c r="A311" s="180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2"/>
    </row>
    <row r="312" spans="1:12" ht="15.75" customHeight="1">
      <c r="A312" s="180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2"/>
    </row>
    <row r="313" spans="1:12" ht="15.75" customHeight="1">
      <c r="A313" s="180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2"/>
    </row>
    <row r="314" spans="1:12" ht="15.75" customHeight="1">
      <c r="A314" s="180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2"/>
    </row>
    <row r="315" spans="1:12" ht="15.75" customHeight="1">
      <c r="A315" s="180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2"/>
    </row>
    <row r="316" spans="1:12" ht="15.75" customHeight="1">
      <c r="A316" s="180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2"/>
    </row>
    <row r="317" spans="1:12" ht="15.75" customHeight="1">
      <c r="A317" s="180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2"/>
    </row>
    <row r="318" spans="1:12" ht="15.75" customHeight="1">
      <c r="A318" s="180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2"/>
    </row>
    <row r="319" spans="1:12" ht="15.75" customHeight="1">
      <c r="A319" s="180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2"/>
    </row>
    <row r="320" spans="1:12" ht="15.75" customHeight="1">
      <c r="A320" s="180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2"/>
    </row>
    <row r="321" spans="1:12" ht="15.75" customHeight="1">
      <c r="A321" s="180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2"/>
    </row>
    <row r="322" spans="1:12" ht="15.75" customHeight="1">
      <c r="A322" s="180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2"/>
    </row>
    <row r="323" spans="1:12" ht="15.75" customHeight="1">
      <c r="A323" s="180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2"/>
    </row>
    <row r="324" spans="1:12" ht="15.75" customHeight="1">
      <c r="A324" s="180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2"/>
    </row>
    <row r="325" spans="1:12" ht="15.75" customHeight="1">
      <c r="A325" s="180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2"/>
    </row>
    <row r="326" spans="1:12" ht="15.75" customHeight="1">
      <c r="A326" s="180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2"/>
    </row>
    <row r="327" spans="1:12" ht="15.75" customHeight="1">
      <c r="A327" s="180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2"/>
    </row>
    <row r="328" spans="1:12" ht="15.75" customHeight="1">
      <c r="A328" s="180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2"/>
    </row>
    <row r="329" spans="1:12" ht="15.75" customHeight="1">
      <c r="A329" s="180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2"/>
    </row>
    <row r="330" spans="1:12" ht="15.75" customHeight="1">
      <c r="A330" s="180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2"/>
    </row>
    <row r="331" spans="1:12" ht="15.75" customHeight="1">
      <c r="A331" s="180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2"/>
    </row>
    <row r="332" spans="1:12" ht="15.75" customHeight="1">
      <c r="A332" s="180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2"/>
    </row>
    <row r="333" spans="1:12" ht="15.75" customHeight="1">
      <c r="A333" s="180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2"/>
    </row>
    <row r="334" spans="1:12" ht="15.75" customHeight="1">
      <c r="A334" s="180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2"/>
    </row>
    <row r="335" spans="1:12" ht="15.75" customHeight="1">
      <c r="A335" s="180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2"/>
    </row>
    <row r="336" spans="1:12" ht="15.75" customHeight="1">
      <c r="A336" s="180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2"/>
    </row>
    <row r="337" spans="1:12" ht="15.75" customHeight="1">
      <c r="A337" s="180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2"/>
    </row>
    <row r="338" spans="1:12" ht="15.75" customHeight="1">
      <c r="A338" s="180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2"/>
    </row>
    <row r="339" spans="1:12" ht="15.75" customHeight="1">
      <c r="A339" s="180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2"/>
    </row>
    <row r="340" spans="1:12" ht="15.75" customHeight="1">
      <c r="A340" s="180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2"/>
    </row>
    <row r="341" spans="1:12" ht="15.75" customHeight="1">
      <c r="A341" s="180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2"/>
    </row>
    <row r="342" spans="1:12" ht="15.75" customHeight="1">
      <c r="A342" s="180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2"/>
    </row>
    <row r="343" spans="1:12" ht="15.75" customHeight="1">
      <c r="A343" s="180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2"/>
    </row>
    <row r="344" spans="1:12" ht="15.75" customHeight="1">
      <c r="A344" s="180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2"/>
    </row>
    <row r="345" spans="1:12" ht="15.75" customHeight="1">
      <c r="A345" s="180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2"/>
    </row>
    <row r="346" spans="1:12" ht="15.75" customHeight="1">
      <c r="A346" s="180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2"/>
    </row>
    <row r="347" spans="1:12" ht="15.75" customHeight="1">
      <c r="A347" s="180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2"/>
    </row>
    <row r="348" spans="1:12" ht="15.75" customHeight="1">
      <c r="A348" s="180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2"/>
    </row>
    <row r="349" spans="1:12" ht="15.75" customHeight="1">
      <c r="A349" s="180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2"/>
    </row>
    <row r="350" spans="1:12" ht="15.75" customHeight="1">
      <c r="A350" s="180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2"/>
    </row>
    <row r="351" spans="1:12" ht="15.75" customHeight="1">
      <c r="A351" s="180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2"/>
    </row>
    <row r="352" spans="1:12" ht="15.75" customHeight="1">
      <c r="A352" s="180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2"/>
    </row>
    <row r="353" spans="1:12" ht="15.75" customHeight="1">
      <c r="A353" s="180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2"/>
    </row>
    <row r="354" spans="1:12" ht="15.75" customHeight="1">
      <c r="A354" s="180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2"/>
    </row>
    <row r="355" spans="1:12" ht="15.75" customHeight="1">
      <c r="A355" s="180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2"/>
    </row>
    <row r="356" spans="1:12" ht="15.75" customHeight="1">
      <c r="A356" s="180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2"/>
    </row>
    <row r="357" spans="1:12" ht="15.75" customHeight="1">
      <c r="A357" s="180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2"/>
    </row>
    <row r="358" spans="1:12" ht="15.75" customHeight="1">
      <c r="A358" s="180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2"/>
    </row>
    <row r="359" spans="1:12" ht="15.75" customHeight="1">
      <c r="A359" s="180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2"/>
    </row>
    <row r="360" spans="1:12" ht="15.75" customHeight="1">
      <c r="A360" s="180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2"/>
    </row>
    <row r="361" spans="1:12" ht="15.75" customHeight="1">
      <c r="A361" s="180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2"/>
    </row>
    <row r="362" spans="1:12" ht="15.75" customHeight="1">
      <c r="A362" s="180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2"/>
    </row>
    <row r="363" spans="1:12" ht="15.75" customHeight="1">
      <c r="A363" s="180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2"/>
    </row>
    <row r="364" spans="1:12" ht="15.75" customHeight="1">
      <c r="A364" s="180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2"/>
    </row>
    <row r="365" spans="1:12" ht="15.75" customHeight="1">
      <c r="A365" s="180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2"/>
    </row>
    <row r="366" spans="1:12" ht="15.75" customHeight="1">
      <c r="A366" s="180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2"/>
    </row>
    <row r="367" spans="1:12" ht="15.75" customHeight="1">
      <c r="A367" s="180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2"/>
    </row>
    <row r="368" spans="1:12" ht="15.75" customHeight="1">
      <c r="A368" s="180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2"/>
    </row>
    <row r="369" spans="1:12" ht="15.75" customHeight="1">
      <c r="A369" s="180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2"/>
    </row>
    <row r="370" spans="1:12" ht="15.75" customHeight="1">
      <c r="A370" s="180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2"/>
    </row>
    <row r="371" spans="1:12" ht="15.75" customHeight="1">
      <c r="A371" s="180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2"/>
    </row>
    <row r="372" spans="1:12" ht="15.75" customHeight="1">
      <c r="A372" s="180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2"/>
    </row>
    <row r="373" spans="1:12" ht="15.75" customHeight="1">
      <c r="A373" s="180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2"/>
    </row>
    <row r="374" spans="1:12" ht="15.75" customHeight="1">
      <c r="A374" s="180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2"/>
    </row>
    <row r="375" spans="1:12" ht="15.75" customHeight="1">
      <c r="A375" s="180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2"/>
    </row>
    <row r="376" spans="1:12" ht="15.75" customHeight="1">
      <c r="A376" s="180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2"/>
    </row>
    <row r="377" spans="1:12" ht="15.75" customHeight="1">
      <c r="A377" s="180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2"/>
    </row>
    <row r="378" spans="1:12" ht="15.75" customHeight="1">
      <c r="A378" s="180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2"/>
    </row>
    <row r="379" spans="1:12" ht="15.75" customHeight="1">
      <c r="A379" s="180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2"/>
    </row>
    <row r="380" spans="1:12" ht="15.75" customHeight="1">
      <c r="A380" s="180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2"/>
    </row>
    <row r="381" spans="1:12" ht="15.75" customHeight="1">
      <c r="A381" s="180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2"/>
    </row>
    <row r="382" spans="1:12" ht="15.75" customHeight="1">
      <c r="A382" s="180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2"/>
    </row>
    <row r="383" spans="1:12" ht="15.75" customHeight="1">
      <c r="A383" s="180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2"/>
    </row>
    <row r="384" spans="1:12" ht="15.75" customHeight="1">
      <c r="A384" s="180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2"/>
    </row>
    <row r="385" spans="1:12" ht="15.75" customHeight="1">
      <c r="A385" s="180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2"/>
    </row>
    <row r="386" spans="1:12" ht="15.75" customHeight="1">
      <c r="A386" s="180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2"/>
    </row>
    <row r="387" spans="1:12" ht="15.75" customHeight="1">
      <c r="A387" s="180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2"/>
    </row>
    <row r="388" spans="1:12" ht="15.75" customHeight="1">
      <c r="A388" s="180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2"/>
    </row>
    <row r="389" spans="1:12" ht="15.75" customHeight="1">
      <c r="A389" s="180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2"/>
    </row>
    <row r="390" spans="1:12" ht="15.75" customHeight="1">
      <c r="A390" s="180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2"/>
    </row>
    <row r="391" spans="1:12" ht="15.75" customHeight="1">
      <c r="A391" s="180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2"/>
    </row>
    <row r="392" spans="1:12" ht="15.75" customHeight="1">
      <c r="A392" s="180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2"/>
    </row>
    <row r="393" spans="1:12" ht="15.75" customHeight="1">
      <c r="A393" s="180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2"/>
    </row>
    <row r="394" spans="1:12" ht="15.75" customHeight="1">
      <c r="A394" s="180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2"/>
    </row>
    <row r="395" spans="1:12" ht="15.75" customHeight="1">
      <c r="A395" s="180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2"/>
    </row>
    <row r="396" spans="1:12" ht="15.75" customHeight="1">
      <c r="A396" s="180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2"/>
    </row>
    <row r="397" spans="1:12" ht="15.75" customHeight="1">
      <c r="A397" s="180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2"/>
    </row>
    <row r="398" spans="1:12" ht="15.75" customHeight="1">
      <c r="A398" s="180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2"/>
    </row>
    <row r="399" spans="1:12" ht="15.75" customHeight="1">
      <c r="A399" s="180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2"/>
    </row>
    <row r="400" spans="1:12" ht="15.75" customHeight="1">
      <c r="A400" s="180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2"/>
    </row>
    <row r="401" spans="1:12" ht="15.75" customHeight="1">
      <c r="A401" s="180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2"/>
    </row>
    <row r="402" spans="1:12" ht="15.75" customHeight="1">
      <c r="A402" s="180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2"/>
    </row>
    <row r="403" spans="1:12" ht="15.75" customHeight="1">
      <c r="A403" s="180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2"/>
    </row>
    <row r="404" spans="1:12" ht="15.75" customHeight="1">
      <c r="A404" s="180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2"/>
    </row>
    <row r="405" spans="1:12" ht="15.75" customHeight="1">
      <c r="A405" s="180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2"/>
    </row>
    <row r="406" spans="1:12" ht="15.75" customHeight="1">
      <c r="A406" s="180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2"/>
    </row>
    <row r="407" spans="1:12" ht="15.75" customHeight="1">
      <c r="A407" s="180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2"/>
    </row>
    <row r="408" spans="1:12" ht="15.75" customHeight="1">
      <c r="A408" s="180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2"/>
    </row>
    <row r="409" spans="1:12" ht="15.75" customHeight="1">
      <c r="A409" s="180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2"/>
    </row>
    <row r="410" spans="1:12" ht="15.75" customHeight="1">
      <c r="A410" s="180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2"/>
    </row>
    <row r="411" spans="1:12" ht="15.75" customHeight="1">
      <c r="A411" s="180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2"/>
    </row>
    <row r="412" spans="1:12" ht="15.75" customHeight="1">
      <c r="A412" s="180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2"/>
    </row>
    <row r="413" spans="1:12" ht="15.75" customHeight="1">
      <c r="A413" s="180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2"/>
    </row>
    <row r="414" spans="1:12" ht="15.75" customHeight="1">
      <c r="A414" s="180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2"/>
    </row>
    <row r="415" spans="1:12" ht="15.75" customHeight="1">
      <c r="A415" s="180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2"/>
    </row>
    <row r="416" spans="1:12" ht="15.75" customHeight="1">
      <c r="A416" s="180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2"/>
    </row>
    <row r="417" spans="1:12" ht="15.75" customHeight="1">
      <c r="A417" s="180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2"/>
    </row>
    <row r="418" spans="1:12" ht="15.75" customHeight="1">
      <c r="A418" s="180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2"/>
    </row>
    <row r="419" spans="1:12" ht="15.75" customHeight="1">
      <c r="A419" s="180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2"/>
    </row>
    <row r="420" spans="1:12" ht="15.75" customHeight="1">
      <c r="A420" s="180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2"/>
    </row>
    <row r="421" spans="1:12" ht="15.75" customHeight="1">
      <c r="A421" s="180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2"/>
    </row>
    <row r="422" spans="1:12" ht="15.75" customHeight="1">
      <c r="A422" s="180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2"/>
    </row>
    <row r="423" spans="1:12" ht="15.75" customHeight="1">
      <c r="A423" s="180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2"/>
    </row>
    <row r="424" spans="1:12" ht="15.75" customHeight="1">
      <c r="A424" s="180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2"/>
    </row>
    <row r="425" spans="1:12" ht="15.75" customHeight="1">
      <c r="A425" s="180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2"/>
    </row>
    <row r="426" spans="1:12" ht="15.75" customHeight="1">
      <c r="A426" s="180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2"/>
    </row>
    <row r="427" spans="1:12" ht="15.75" customHeight="1">
      <c r="A427" s="180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2"/>
    </row>
    <row r="428" spans="1:12" ht="15.75" customHeight="1">
      <c r="A428" s="180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2"/>
    </row>
    <row r="429" spans="1:12" ht="15.75" customHeight="1">
      <c r="A429" s="180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2"/>
    </row>
    <row r="430" spans="1:12" ht="15.75" customHeight="1">
      <c r="A430" s="180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2"/>
    </row>
    <row r="431" spans="1:12" ht="15.75" customHeight="1">
      <c r="A431" s="180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2"/>
    </row>
    <row r="432" spans="1:12" ht="15.75" customHeight="1">
      <c r="A432" s="180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2"/>
    </row>
    <row r="433" spans="1:12" ht="15.75" customHeight="1">
      <c r="A433" s="180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2"/>
    </row>
    <row r="434" spans="1:12" ht="15.75" customHeight="1">
      <c r="A434" s="180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2"/>
    </row>
    <row r="435" spans="1:12" ht="15.75" customHeight="1">
      <c r="A435" s="180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2"/>
    </row>
    <row r="436" spans="1:12" ht="15.75" customHeight="1">
      <c r="A436" s="180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2"/>
    </row>
    <row r="437" spans="1:12" ht="15.75" customHeight="1">
      <c r="A437" s="180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2"/>
    </row>
    <row r="438" spans="1:12" ht="15.75" customHeight="1">
      <c r="A438" s="180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2"/>
    </row>
    <row r="439" spans="1:12" ht="15.75" customHeight="1">
      <c r="A439" s="180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2"/>
    </row>
    <row r="440" spans="1:12" ht="15.75" customHeight="1">
      <c r="A440" s="180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2"/>
    </row>
    <row r="441" spans="1:12" ht="15.75" customHeight="1">
      <c r="A441" s="180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2"/>
    </row>
    <row r="442" spans="1:12" ht="15.75" customHeight="1">
      <c r="A442" s="180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2"/>
    </row>
    <row r="443" spans="1:12" ht="15.75" customHeight="1">
      <c r="A443" s="180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2"/>
    </row>
    <row r="444" spans="1:12" ht="15.75" customHeight="1">
      <c r="A444" s="180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2"/>
    </row>
    <row r="445" spans="1:12" ht="15.75" customHeight="1">
      <c r="A445" s="180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2"/>
    </row>
    <row r="446" spans="1:12" ht="15.75" customHeight="1">
      <c r="A446" s="180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2"/>
    </row>
    <row r="447" spans="1:12" ht="15.75" customHeight="1">
      <c r="A447" s="180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2"/>
    </row>
    <row r="448" spans="1:12" ht="15.75" customHeight="1">
      <c r="A448" s="180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2"/>
    </row>
    <row r="449" spans="1:12" ht="15.75" customHeight="1">
      <c r="A449" s="180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2"/>
    </row>
    <row r="450" spans="1:12" ht="15.75" customHeight="1">
      <c r="A450" s="180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2"/>
    </row>
    <row r="451" spans="1:12" ht="15.75" customHeight="1">
      <c r="A451" s="180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2"/>
    </row>
    <row r="452" spans="1:12" ht="15.75" customHeight="1">
      <c r="A452" s="180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2"/>
    </row>
    <row r="453" spans="1:12" ht="15.75" customHeight="1">
      <c r="A453" s="180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2"/>
    </row>
    <row r="454" spans="1:12" ht="15.75" customHeight="1">
      <c r="A454" s="180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2"/>
    </row>
    <row r="455" spans="1:12" ht="15.75" customHeight="1">
      <c r="A455" s="180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2"/>
    </row>
    <row r="456" spans="1:12" ht="15.75" customHeight="1">
      <c r="A456" s="180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2"/>
    </row>
    <row r="457" spans="1:12" ht="15.75" customHeight="1">
      <c r="A457" s="180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2"/>
    </row>
    <row r="458" spans="1:12" ht="15.75" customHeight="1">
      <c r="A458" s="180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2"/>
    </row>
    <row r="459" spans="1:12" ht="15.75" customHeight="1">
      <c r="A459" s="180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2"/>
    </row>
    <row r="460" spans="1:12" ht="15.75" customHeight="1">
      <c r="A460" s="180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2"/>
    </row>
    <row r="461" spans="1:12" ht="15.75" customHeight="1">
      <c r="A461" s="180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2"/>
    </row>
    <row r="462" spans="1:12" ht="15.75" customHeight="1">
      <c r="A462" s="180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2"/>
    </row>
    <row r="463" spans="1:12" ht="15.75" customHeight="1">
      <c r="A463" s="180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2"/>
    </row>
    <row r="464" spans="1:12" ht="15.75" customHeight="1">
      <c r="A464" s="180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2"/>
    </row>
    <row r="465" spans="1:12" ht="15.75" customHeight="1">
      <c r="A465" s="180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2"/>
    </row>
    <row r="466" spans="1:12" ht="15.75" customHeight="1">
      <c r="A466" s="180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2"/>
    </row>
    <row r="467" spans="1:12" ht="15.75" customHeight="1">
      <c r="A467" s="180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2"/>
    </row>
    <row r="468" spans="1:12" ht="15.75" customHeight="1">
      <c r="A468" s="180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2"/>
    </row>
    <row r="469" spans="1:12" ht="15.75" customHeight="1">
      <c r="A469" s="180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2"/>
    </row>
    <row r="470" spans="1:12" ht="15.75" customHeight="1">
      <c r="A470" s="180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2"/>
    </row>
    <row r="471" spans="1:12" ht="15.75" customHeight="1">
      <c r="A471" s="180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2"/>
    </row>
    <row r="472" spans="1:12" ht="15.75" customHeight="1">
      <c r="A472" s="180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2"/>
    </row>
    <row r="473" spans="1:12" ht="15.75" customHeight="1">
      <c r="A473" s="180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2"/>
    </row>
    <row r="474" spans="1:12" ht="15.75" customHeight="1">
      <c r="A474" s="180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2"/>
    </row>
    <row r="475" spans="1:12" ht="15.75" customHeight="1">
      <c r="A475" s="180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2"/>
    </row>
    <row r="476" spans="1:12" ht="15.75" customHeight="1">
      <c r="A476" s="180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2"/>
    </row>
    <row r="477" spans="1:12" ht="15.75" customHeight="1">
      <c r="A477" s="180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2"/>
    </row>
    <row r="478" spans="1:12" ht="15.75" customHeight="1">
      <c r="A478" s="180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2"/>
    </row>
    <row r="479" spans="1:12" ht="15.75" customHeight="1">
      <c r="A479" s="180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2"/>
    </row>
    <row r="480" spans="1:12" ht="15.75" customHeight="1">
      <c r="A480" s="180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2"/>
    </row>
    <row r="481" spans="1:12" ht="15.75" customHeight="1">
      <c r="A481" s="180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2"/>
    </row>
    <row r="482" spans="1:12" ht="15.75" customHeight="1">
      <c r="A482" s="180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2"/>
    </row>
    <row r="483" spans="1:12" ht="15.75" customHeight="1">
      <c r="A483" s="180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2"/>
    </row>
    <row r="484" spans="1:12" ht="15.75" customHeight="1">
      <c r="A484" s="180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2"/>
    </row>
    <row r="485" spans="1:12" ht="15.75" customHeight="1">
      <c r="A485" s="180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2"/>
    </row>
    <row r="486" spans="1:12" ht="15.75" customHeight="1">
      <c r="A486" s="180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2"/>
    </row>
    <row r="487" spans="1:12" ht="15.75" customHeight="1">
      <c r="A487" s="180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2"/>
    </row>
    <row r="488" spans="1:12" ht="15.75" customHeight="1">
      <c r="A488" s="180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2"/>
    </row>
    <row r="489" spans="1:12" ht="15.75" customHeight="1">
      <c r="A489" s="180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2"/>
    </row>
    <row r="490" spans="1:12" ht="15.75" customHeight="1">
      <c r="A490" s="180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2"/>
    </row>
    <row r="491" spans="1:12" ht="15.75" customHeight="1">
      <c r="A491" s="180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2"/>
    </row>
    <row r="492" spans="1:12" ht="15.75" customHeight="1">
      <c r="A492" s="180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2"/>
    </row>
    <row r="493" spans="1:12" ht="15.75" customHeight="1">
      <c r="A493" s="180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2"/>
    </row>
    <row r="494" spans="1:12" ht="15.75" customHeight="1">
      <c r="A494" s="180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2"/>
    </row>
    <row r="495" spans="1:12" ht="15.75" customHeight="1">
      <c r="A495" s="180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2"/>
    </row>
    <row r="496" spans="1:12" ht="15.75" customHeight="1">
      <c r="A496" s="180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2"/>
    </row>
    <row r="497" spans="1:12" ht="15.75" customHeight="1">
      <c r="A497" s="180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2"/>
    </row>
    <row r="498" spans="1:12" ht="15.75" customHeight="1">
      <c r="A498" s="180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2"/>
    </row>
    <row r="499" spans="1:12" ht="15.75" customHeight="1">
      <c r="A499" s="180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2"/>
    </row>
    <row r="500" spans="1:12" ht="15.75" customHeight="1">
      <c r="A500" s="180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2"/>
    </row>
    <row r="501" spans="1:12" ht="15.75" customHeight="1">
      <c r="A501" s="180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2"/>
    </row>
    <row r="502" spans="1:12" ht="15.75" customHeight="1">
      <c r="A502" s="180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2"/>
    </row>
    <row r="503" spans="1:12" ht="15.75" customHeight="1">
      <c r="A503" s="180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2"/>
    </row>
    <row r="504" spans="1:12" ht="15.75" customHeight="1">
      <c r="A504" s="180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2"/>
    </row>
    <row r="505" spans="1:12" ht="15.75" customHeight="1">
      <c r="A505" s="180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2"/>
    </row>
    <row r="506" spans="1:12" ht="15.75" customHeight="1">
      <c r="A506" s="180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2"/>
    </row>
    <row r="507" spans="1:12" ht="15.75" customHeight="1">
      <c r="A507" s="180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2"/>
    </row>
    <row r="508" spans="1:12" ht="15.75" customHeight="1">
      <c r="A508" s="180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2"/>
    </row>
    <row r="509" spans="1:12" ht="15.75" customHeight="1">
      <c r="A509" s="180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2"/>
    </row>
    <row r="510" spans="1:12" ht="15.75" customHeight="1">
      <c r="A510" s="180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2"/>
    </row>
    <row r="511" spans="1:12" ht="15.75" customHeight="1">
      <c r="A511" s="180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2"/>
    </row>
    <row r="512" spans="1:12" ht="15.75" customHeight="1">
      <c r="A512" s="180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2"/>
    </row>
    <row r="513" spans="1:12" ht="15.75" customHeight="1">
      <c r="A513" s="180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2"/>
    </row>
    <row r="514" spans="1:12" ht="15.75" customHeight="1">
      <c r="A514" s="180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2"/>
    </row>
    <row r="515" spans="1:12" ht="15.75" customHeight="1">
      <c r="A515" s="180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2"/>
    </row>
    <row r="516" spans="1:12" ht="15.75" customHeight="1">
      <c r="A516" s="180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2"/>
    </row>
    <row r="517" spans="1:12" ht="15.75" customHeight="1">
      <c r="A517" s="180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2"/>
    </row>
    <row r="518" spans="1:12" ht="15.75" customHeight="1">
      <c r="A518" s="180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2"/>
    </row>
    <row r="519" spans="1:12" ht="15.75" customHeight="1">
      <c r="A519" s="180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2"/>
    </row>
    <row r="520" spans="1:12" ht="15.75" customHeight="1">
      <c r="A520" s="180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2"/>
    </row>
    <row r="521" spans="1:12" ht="15.75" customHeight="1">
      <c r="A521" s="180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2"/>
    </row>
    <row r="522" spans="1:12" ht="15.75" customHeight="1">
      <c r="A522" s="180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2"/>
    </row>
    <row r="523" spans="1:12" ht="15.75" customHeight="1">
      <c r="A523" s="180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2"/>
    </row>
    <row r="524" spans="1:12" ht="15.75" customHeight="1">
      <c r="A524" s="180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2"/>
    </row>
    <row r="525" spans="1:12" ht="15.75" customHeight="1">
      <c r="A525" s="180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2"/>
    </row>
    <row r="526" spans="1:12" ht="15.75" customHeight="1">
      <c r="A526" s="180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2"/>
    </row>
    <row r="527" spans="1:12" ht="15.75" customHeight="1">
      <c r="A527" s="180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2"/>
    </row>
    <row r="528" spans="1:12" ht="15.75" customHeight="1">
      <c r="A528" s="180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2"/>
    </row>
    <row r="529" spans="1:12" ht="15.75" customHeight="1">
      <c r="A529" s="180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2"/>
    </row>
    <row r="530" spans="1:12" ht="15.75" customHeight="1">
      <c r="A530" s="180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2"/>
    </row>
    <row r="531" spans="1:12" ht="15.75" customHeight="1">
      <c r="A531" s="180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2"/>
    </row>
    <row r="532" spans="1:12" ht="15.75" customHeight="1">
      <c r="A532" s="180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2"/>
    </row>
    <row r="533" spans="1:12" ht="15.75" customHeight="1">
      <c r="A533" s="180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2"/>
    </row>
    <row r="534" spans="1:12" ht="15.75" customHeight="1">
      <c r="A534" s="180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2"/>
    </row>
    <row r="535" spans="1:12" ht="15.75" customHeight="1">
      <c r="A535" s="180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2"/>
    </row>
    <row r="536" spans="1:12" ht="15.75" customHeight="1">
      <c r="A536" s="180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2"/>
    </row>
    <row r="537" spans="1:12" ht="15.75" customHeight="1">
      <c r="A537" s="180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2"/>
    </row>
    <row r="538" spans="1:12" ht="15.75" customHeight="1">
      <c r="A538" s="180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2"/>
    </row>
    <row r="539" spans="1:12" ht="15.75" customHeight="1">
      <c r="A539" s="180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2"/>
    </row>
    <row r="540" spans="1:12" ht="15.75" customHeight="1">
      <c r="A540" s="180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2"/>
    </row>
    <row r="541" spans="1:12" ht="15.75" customHeight="1">
      <c r="A541" s="180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2"/>
    </row>
    <row r="542" spans="1:12" ht="15.75" customHeight="1">
      <c r="A542" s="180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2"/>
    </row>
    <row r="543" spans="1:12" ht="15.75" customHeight="1">
      <c r="A543" s="180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2"/>
    </row>
    <row r="544" spans="1:12" ht="15.75" customHeight="1">
      <c r="A544" s="180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2"/>
    </row>
    <row r="545" spans="1:12" ht="15.75" customHeight="1">
      <c r="A545" s="180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2"/>
    </row>
    <row r="546" spans="1:12" ht="15.75" customHeight="1">
      <c r="A546" s="180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2"/>
    </row>
    <row r="547" spans="1:12" ht="15.75" customHeight="1">
      <c r="A547" s="180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2"/>
    </row>
    <row r="548" spans="1:12" ht="15.75" customHeight="1">
      <c r="A548" s="180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2"/>
    </row>
    <row r="549" spans="1:12" ht="15.75" customHeight="1">
      <c r="A549" s="180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2"/>
    </row>
    <row r="550" spans="1:12" ht="15.75" customHeight="1">
      <c r="A550" s="180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2"/>
    </row>
    <row r="551" spans="1:12" ht="15.75" customHeight="1">
      <c r="A551" s="180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2"/>
    </row>
    <row r="552" spans="1:12" ht="15.75" customHeight="1">
      <c r="A552" s="180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2"/>
    </row>
    <row r="553" spans="1:12" ht="15.75" customHeight="1">
      <c r="A553" s="180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2"/>
    </row>
    <row r="554" spans="1:12" ht="15.75" customHeight="1">
      <c r="A554" s="180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2"/>
    </row>
    <row r="555" spans="1:12" ht="15.75" customHeight="1">
      <c r="A555" s="180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2"/>
    </row>
    <row r="556" spans="1:12" ht="15.75" customHeight="1">
      <c r="A556" s="180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2"/>
    </row>
    <row r="557" spans="1:12" ht="15.75" customHeight="1">
      <c r="A557" s="180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2"/>
    </row>
    <row r="558" spans="1:12" ht="15.75" customHeight="1">
      <c r="A558" s="180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2"/>
    </row>
    <row r="559" spans="1:12" ht="15.75" customHeight="1">
      <c r="A559" s="180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2"/>
    </row>
    <row r="560" spans="1:12" ht="15.75" customHeight="1">
      <c r="A560" s="180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2"/>
    </row>
    <row r="561" spans="1:12" ht="15.75" customHeight="1">
      <c r="A561" s="180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2"/>
    </row>
    <row r="562" spans="1:12" ht="15.75" customHeight="1">
      <c r="A562" s="180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2"/>
    </row>
    <row r="563" spans="1:12" ht="15.75" customHeight="1">
      <c r="A563" s="180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2"/>
    </row>
    <row r="564" spans="1:12" ht="15.75" customHeight="1">
      <c r="A564" s="180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2"/>
    </row>
    <row r="565" spans="1:12" ht="15.75" customHeight="1">
      <c r="A565" s="180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2"/>
    </row>
    <row r="566" spans="1:12" ht="15.75" customHeight="1">
      <c r="A566" s="180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2"/>
    </row>
    <row r="567" spans="1:12" ht="15.75" customHeight="1">
      <c r="A567" s="180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2"/>
    </row>
    <row r="568" spans="1:12" ht="15.75" customHeight="1">
      <c r="A568" s="180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2"/>
    </row>
    <row r="569" spans="1:12" ht="15.75" customHeight="1">
      <c r="A569" s="180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2"/>
    </row>
    <row r="570" spans="1:12" ht="15.75" customHeight="1">
      <c r="A570" s="180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2"/>
    </row>
    <row r="571" spans="1:12" ht="15.75" customHeight="1">
      <c r="A571" s="180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2"/>
    </row>
    <row r="572" spans="1:12" ht="15.75" customHeight="1">
      <c r="A572" s="180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2"/>
    </row>
    <row r="573" spans="1:12" ht="15.75" customHeight="1">
      <c r="A573" s="180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2"/>
    </row>
    <row r="574" spans="1:12" ht="15.75" customHeight="1">
      <c r="A574" s="180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2"/>
    </row>
    <row r="575" spans="1:12" ht="15.75" customHeight="1">
      <c r="A575" s="180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2"/>
    </row>
    <row r="576" spans="1:12" ht="15.75" customHeight="1">
      <c r="A576" s="180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2"/>
    </row>
    <row r="577" spans="1:12" ht="15.75" customHeight="1">
      <c r="A577" s="180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2"/>
    </row>
    <row r="578" spans="1:12" ht="15.75" customHeight="1">
      <c r="A578" s="180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2"/>
    </row>
    <row r="579" spans="1:12" ht="15.75" customHeight="1">
      <c r="A579" s="180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2"/>
    </row>
    <row r="580" spans="1:12" ht="15.75" customHeight="1">
      <c r="A580" s="180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2"/>
    </row>
    <row r="581" spans="1:12" ht="15.75" customHeight="1">
      <c r="A581" s="180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2"/>
    </row>
    <row r="582" spans="1:12" ht="15.75" customHeight="1">
      <c r="A582" s="180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2"/>
    </row>
    <row r="583" spans="1:12" ht="15.75" customHeight="1">
      <c r="A583" s="180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2"/>
    </row>
    <row r="584" spans="1:12" ht="15.75" customHeight="1">
      <c r="A584" s="180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2"/>
    </row>
    <row r="585" spans="1:12" ht="15.75" customHeight="1">
      <c r="A585" s="180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2"/>
    </row>
    <row r="586" spans="1:12" ht="15.75" customHeight="1">
      <c r="A586" s="180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2"/>
    </row>
    <row r="587" spans="1:12" ht="15.75" customHeight="1">
      <c r="A587" s="180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2"/>
    </row>
    <row r="588" spans="1:12" ht="15.75" customHeight="1">
      <c r="A588" s="180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2"/>
    </row>
    <row r="589" spans="1:12" ht="15.75" customHeight="1">
      <c r="A589" s="180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2"/>
    </row>
    <row r="590" spans="1:12" ht="15.75" customHeight="1">
      <c r="A590" s="180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2"/>
    </row>
    <row r="591" spans="1:12" ht="15.75" customHeight="1">
      <c r="A591" s="180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2"/>
    </row>
    <row r="592" spans="1:12" ht="15.75" customHeight="1">
      <c r="A592" s="180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2"/>
    </row>
    <row r="593" spans="1:12" ht="15.75" customHeight="1">
      <c r="A593" s="180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2"/>
    </row>
    <row r="594" spans="1:12" ht="15.75" customHeight="1">
      <c r="A594" s="180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2"/>
    </row>
    <row r="595" spans="1:12" ht="15.75" customHeight="1">
      <c r="A595" s="180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2"/>
    </row>
    <row r="596" spans="1:12" ht="15.75" customHeight="1">
      <c r="A596" s="180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2"/>
    </row>
    <row r="597" spans="1:12" ht="15.75" customHeight="1">
      <c r="A597" s="180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2"/>
    </row>
    <row r="598" spans="1:12" ht="15.75" customHeight="1">
      <c r="A598" s="180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2"/>
    </row>
    <row r="599" spans="1:12" ht="15.75" customHeight="1">
      <c r="A599" s="180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2"/>
    </row>
    <row r="600" spans="1:12" ht="15.75" customHeight="1">
      <c r="A600" s="180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2"/>
    </row>
    <row r="601" spans="1:12" ht="15.75" customHeight="1">
      <c r="A601" s="180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2"/>
    </row>
    <row r="602" spans="1:12" ht="15.75" customHeight="1">
      <c r="A602" s="180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2"/>
    </row>
    <row r="603" spans="1:12" ht="15.75" customHeight="1">
      <c r="A603" s="180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2"/>
    </row>
    <row r="604" spans="1:12" ht="15.75" customHeight="1">
      <c r="A604" s="180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2"/>
    </row>
    <row r="605" spans="1:12" ht="15.75" customHeight="1">
      <c r="A605" s="180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2"/>
    </row>
    <row r="606" spans="1:12" ht="15.75" customHeight="1">
      <c r="A606" s="180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2"/>
    </row>
    <row r="607" spans="1:12" ht="15.75" customHeight="1">
      <c r="A607" s="180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2"/>
    </row>
    <row r="608" spans="1:12" ht="15.75" customHeight="1">
      <c r="A608" s="180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2"/>
    </row>
    <row r="609" spans="1:12" ht="15.75" customHeight="1">
      <c r="A609" s="180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2"/>
    </row>
    <row r="610" spans="1:12" ht="15.75" customHeight="1">
      <c r="A610" s="180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2"/>
    </row>
    <row r="611" spans="1:12" ht="15.75" customHeight="1">
      <c r="A611" s="180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2"/>
    </row>
    <row r="612" spans="1:12" ht="15.75" customHeight="1">
      <c r="A612" s="180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2"/>
    </row>
    <row r="613" spans="1:12" ht="15.75" customHeight="1">
      <c r="A613" s="180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2"/>
    </row>
    <row r="614" spans="1:12" ht="15.75" customHeight="1">
      <c r="A614" s="180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2"/>
    </row>
    <row r="615" spans="1:12" ht="15.75" customHeight="1">
      <c r="A615" s="180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2"/>
    </row>
    <row r="616" spans="1:12" ht="15.75" customHeight="1">
      <c r="A616" s="180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2"/>
    </row>
    <row r="617" spans="1:12" ht="15.75" customHeight="1">
      <c r="A617" s="180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2"/>
    </row>
    <row r="618" spans="1:12" ht="15.75" customHeight="1">
      <c r="A618" s="180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2"/>
    </row>
    <row r="619" spans="1:12" ht="15.75" customHeight="1">
      <c r="A619" s="180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2"/>
    </row>
    <row r="620" spans="1:12" ht="15.75" customHeight="1">
      <c r="A620" s="180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2"/>
    </row>
    <row r="621" spans="1:12" ht="15.75" customHeight="1">
      <c r="A621" s="180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2"/>
    </row>
    <row r="622" spans="1:12" ht="15.75" customHeight="1">
      <c r="A622" s="180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2"/>
    </row>
    <row r="623" spans="1:12" ht="15.75" customHeight="1">
      <c r="A623" s="180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2"/>
    </row>
    <row r="624" spans="1:12" ht="15.75" customHeight="1">
      <c r="A624" s="180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2"/>
    </row>
    <row r="625" spans="1:12" ht="15.75" customHeight="1">
      <c r="A625" s="180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2"/>
    </row>
    <row r="626" spans="1:12" ht="15.75" customHeight="1">
      <c r="A626" s="180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2"/>
    </row>
    <row r="627" spans="1:12" ht="15.75" customHeight="1">
      <c r="A627" s="180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2"/>
    </row>
    <row r="628" spans="1:12" ht="15.75" customHeight="1">
      <c r="A628" s="180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2"/>
    </row>
    <row r="629" spans="1:12" ht="15.75" customHeight="1">
      <c r="A629" s="180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2"/>
    </row>
    <row r="630" spans="1:12" ht="15.75" customHeight="1">
      <c r="A630" s="180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2"/>
    </row>
    <row r="631" spans="1:12" ht="15.75" customHeight="1">
      <c r="A631" s="180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2"/>
    </row>
    <row r="632" spans="1:12" ht="15.75" customHeight="1">
      <c r="A632" s="180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2"/>
    </row>
    <row r="633" spans="1:12" ht="15.75" customHeight="1">
      <c r="A633" s="180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2"/>
    </row>
    <row r="634" spans="1:12" ht="15.75" customHeight="1">
      <c r="A634" s="180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2"/>
    </row>
    <row r="635" spans="1:12" ht="15.75" customHeight="1">
      <c r="A635" s="180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2"/>
    </row>
    <row r="636" spans="1:12" ht="15.75" customHeight="1">
      <c r="A636" s="180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2"/>
    </row>
    <row r="637" spans="1:12" ht="15.75" customHeight="1">
      <c r="A637" s="180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2"/>
    </row>
    <row r="638" spans="1:12" ht="15.75" customHeight="1">
      <c r="A638" s="180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2"/>
    </row>
    <row r="639" spans="1:12" ht="15.75" customHeight="1">
      <c r="A639" s="180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2"/>
    </row>
    <row r="640" spans="1:12" ht="15.75" customHeight="1">
      <c r="A640" s="180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2"/>
    </row>
    <row r="641" spans="1:12" ht="15.75" customHeight="1">
      <c r="A641" s="180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2"/>
    </row>
    <row r="642" spans="1:12" ht="15.75" customHeight="1">
      <c r="A642" s="180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2"/>
    </row>
    <row r="643" spans="1:12" ht="15.75" customHeight="1">
      <c r="A643" s="180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2"/>
    </row>
    <row r="644" spans="1:12" ht="15.75" customHeight="1">
      <c r="A644" s="180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2"/>
    </row>
    <row r="645" spans="1:12" ht="15.75" customHeight="1">
      <c r="A645" s="180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2"/>
    </row>
    <row r="646" spans="1:12" ht="15.75" customHeight="1">
      <c r="A646" s="180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2"/>
    </row>
    <row r="647" spans="1:12" ht="15.75" customHeight="1">
      <c r="A647" s="180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2"/>
    </row>
    <row r="648" spans="1:12" ht="15.75" customHeight="1">
      <c r="A648" s="180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2"/>
    </row>
    <row r="649" spans="1:12" ht="15.75" customHeight="1">
      <c r="A649" s="180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2"/>
    </row>
    <row r="650" spans="1:12" ht="15.75" customHeight="1">
      <c r="A650" s="180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2"/>
    </row>
    <row r="651" spans="1:12" ht="15.75" customHeight="1">
      <c r="A651" s="180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2"/>
    </row>
    <row r="652" spans="1:12" ht="15.75" customHeight="1">
      <c r="A652" s="180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2"/>
    </row>
    <row r="653" spans="1:12" ht="15.75" customHeight="1">
      <c r="A653" s="180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2"/>
    </row>
    <row r="654" spans="1:12" ht="15.75" customHeight="1">
      <c r="A654" s="180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2"/>
    </row>
    <row r="655" spans="1:12" ht="15.75" customHeight="1">
      <c r="A655" s="180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2"/>
    </row>
    <row r="656" spans="1:12" ht="15.75" customHeight="1">
      <c r="A656" s="180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2"/>
    </row>
    <row r="657" spans="1:12" ht="15.75" customHeight="1">
      <c r="A657" s="180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2"/>
    </row>
    <row r="658" spans="1:12" ht="15.75" customHeight="1">
      <c r="A658" s="180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2"/>
    </row>
    <row r="659" spans="1:12" ht="15.75" customHeight="1">
      <c r="A659" s="180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2"/>
    </row>
    <row r="660" spans="1:12" ht="15.75" customHeight="1">
      <c r="A660" s="180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2"/>
    </row>
    <row r="661" spans="1:12" ht="15.75" customHeight="1">
      <c r="A661" s="180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2"/>
    </row>
    <row r="662" spans="1:12" ht="15.75" customHeight="1">
      <c r="A662" s="180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2"/>
    </row>
    <row r="663" spans="1:12" ht="15.75" customHeight="1">
      <c r="A663" s="180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2"/>
    </row>
    <row r="664" spans="1:12" ht="15.75" customHeight="1">
      <c r="A664" s="180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2"/>
    </row>
    <row r="665" spans="1:12" ht="15.75" customHeight="1">
      <c r="A665" s="180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2"/>
    </row>
    <row r="666" spans="1:12" ht="15.75" customHeight="1">
      <c r="A666" s="180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2"/>
    </row>
    <row r="667" spans="1:12" ht="15.75" customHeight="1">
      <c r="A667" s="180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2"/>
    </row>
    <row r="668" spans="1:12" ht="15.75" customHeight="1">
      <c r="A668" s="180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2"/>
    </row>
    <row r="669" spans="1:12" ht="15.75" customHeight="1">
      <c r="A669" s="180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2"/>
    </row>
    <row r="670" spans="1:12" ht="15.75" customHeight="1">
      <c r="A670" s="180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2"/>
    </row>
    <row r="671" spans="1:12" ht="15.75" customHeight="1">
      <c r="A671" s="180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2"/>
    </row>
    <row r="672" spans="1:12" ht="15.75" customHeight="1">
      <c r="A672" s="180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2"/>
    </row>
    <row r="673" spans="1:12" ht="15.75" customHeight="1">
      <c r="A673" s="180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2"/>
    </row>
    <row r="674" spans="1:12" ht="15.75" customHeight="1">
      <c r="A674" s="180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2"/>
    </row>
    <row r="675" spans="1:12" ht="15.75" customHeight="1">
      <c r="A675" s="180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2"/>
    </row>
    <row r="676" spans="1:12" ht="15.75" customHeight="1">
      <c r="A676" s="180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2"/>
    </row>
    <row r="677" spans="1:12" ht="15.75" customHeight="1">
      <c r="A677" s="180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2"/>
    </row>
    <row r="678" spans="1:12" ht="15.75" customHeight="1">
      <c r="A678" s="180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2"/>
    </row>
    <row r="679" spans="1:12" ht="15.75" customHeight="1">
      <c r="A679" s="180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2"/>
    </row>
    <row r="680" spans="1:12" ht="15.75" customHeight="1">
      <c r="A680" s="180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2"/>
    </row>
    <row r="681" spans="1:12" ht="15.75" customHeight="1">
      <c r="A681" s="180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2"/>
    </row>
    <row r="682" spans="1:12" ht="15.75" customHeight="1">
      <c r="A682" s="180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2"/>
    </row>
    <row r="683" spans="1:12" ht="15.75" customHeight="1">
      <c r="A683" s="180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2"/>
    </row>
    <row r="684" spans="1:12" ht="15.75" customHeight="1">
      <c r="A684" s="180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2"/>
    </row>
    <row r="685" spans="1:12" ht="15.75" customHeight="1">
      <c r="A685" s="180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2"/>
    </row>
    <row r="686" spans="1:12" ht="15.75" customHeight="1">
      <c r="A686" s="180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2"/>
    </row>
    <row r="687" spans="1:12" ht="15.75" customHeight="1">
      <c r="A687" s="180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2"/>
    </row>
    <row r="688" spans="1:12" ht="15.75" customHeight="1">
      <c r="A688" s="180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2"/>
    </row>
    <row r="689" spans="1:12" ht="15.75" customHeight="1">
      <c r="A689" s="180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2"/>
    </row>
    <row r="690" spans="1:12" ht="15.75" customHeight="1">
      <c r="A690" s="180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2"/>
    </row>
    <row r="691" spans="1:12" ht="15.75" customHeight="1">
      <c r="A691" s="180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2"/>
    </row>
    <row r="692" spans="1:12" ht="15.75" customHeight="1">
      <c r="A692" s="180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2"/>
    </row>
    <row r="693" spans="1:12" ht="15.75" customHeight="1">
      <c r="A693" s="180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2"/>
    </row>
    <row r="694" spans="1:12" ht="15.75" customHeight="1">
      <c r="A694" s="180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2"/>
    </row>
    <row r="695" spans="1:12" ht="15.75" customHeight="1">
      <c r="A695" s="180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2"/>
    </row>
    <row r="696" spans="1:12" ht="15.75" customHeight="1">
      <c r="A696" s="180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2"/>
    </row>
    <row r="697" spans="1:12" ht="15.75" customHeight="1">
      <c r="A697" s="180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2"/>
    </row>
    <row r="698" spans="1:12" ht="15.75" customHeight="1">
      <c r="A698" s="180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2"/>
    </row>
    <row r="699" spans="1:12" ht="15.75" customHeight="1">
      <c r="A699" s="180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2"/>
    </row>
    <row r="700" spans="1:12" ht="15.75" customHeight="1">
      <c r="A700" s="180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2"/>
    </row>
    <row r="701" spans="1:12" ht="15.75" customHeight="1">
      <c r="A701" s="180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2"/>
    </row>
    <row r="702" spans="1:12" ht="15.75" customHeight="1">
      <c r="A702" s="180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2"/>
    </row>
    <row r="703" spans="1:12" ht="15.75" customHeight="1">
      <c r="A703" s="180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2"/>
    </row>
    <row r="704" spans="1:12" ht="15.75" customHeight="1">
      <c r="A704" s="180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2"/>
    </row>
    <row r="705" spans="1:12" ht="15.75" customHeight="1">
      <c r="A705" s="180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2"/>
    </row>
    <row r="706" spans="1:12" ht="15.75" customHeight="1">
      <c r="A706" s="180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2"/>
    </row>
    <row r="707" spans="1:12" ht="15.75" customHeight="1">
      <c r="A707" s="180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2"/>
    </row>
    <row r="708" spans="1:12" ht="15.75" customHeight="1">
      <c r="A708" s="180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2"/>
    </row>
    <row r="709" spans="1:12" ht="15.75" customHeight="1">
      <c r="A709" s="180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2"/>
    </row>
    <row r="710" spans="1:12" ht="15.75" customHeight="1">
      <c r="A710" s="180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2"/>
    </row>
    <row r="711" spans="1:12" ht="15.75" customHeight="1">
      <c r="A711" s="180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2"/>
    </row>
    <row r="712" spans="1:12" ht="15.75" customHeight="1">
      <c r="A712" s="180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2"/>
    </row>
    <row r="713" spans="1:12" ht="15.75" customHeight="1">
      <c r="A713" s="180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2"/>
    </row>
    <row r="714" spans="1:12" ht="15.75" customHeight="1">
      <c r="A714" s="180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2"/>
    </row>
    <row r="715" spans="1:12" ht="15.75" customHeight="1">
      <c r="A715" s="180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2"/>
    </row>
    <row r="716" spans="1:12" ht="15.75" customHeight="1">
      <c r="A716" s="180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2"/>
    </row>
    <row r="717" spans="1:12" ht="15.75" customHeight="1">
      <c r="A717" s="180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2"/>
    </row>
    <row r="718" spans="1:12" ht="15.75" customHeight="1">
      <c r="A718" s="180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2"/>
    </row>
    <row r="719" spans="1:12" ht="15.75" customHeight="1">
      <c r="A719" s="180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2"/>
    </row>
    <row r="720" spans="1:12" ht="15.75" customHeight="1">
      <c r="A720" s="180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2"/>
    </row>
    <row r="721" spans="1:12" ht="15.75" customHeight="1">
      <c r="A721" s="180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2"/>
    </row>
    <row r="722" spans="1:12" ht="15.75" customHeight="1">
      <c r="A722" s="180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2"/>
    </row>
    <row r="723" spans="1:12" ht="15.75" customHeight="1">
      <c r="A723" s="180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2"/>
    </row>
    <row r="724" spans="1:12" ht="15.75" customHeight="1">
      <c r="A724" s="180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2"/>
    </row>
    <row r="725" spans="1:12" ht="15.75" customHeight="1">
      <c r="A725" s="180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2"/>
    </row>
    <row r="726" spans="1:12" ht="15.75" customHeight="1">
      <c r="A726" s="180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2"/>
    </row>
    <row r="727" spans="1:12" ht="15.75" customHeight="1">
      <c r="A727" s="180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2"/>
    </row>
    <row r="728" spans="1:12" ht="15.75" customHeight="1">
      <c r="A728" s="180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2"/>
    </row>
    <row r="729" spans="1:12" ht="15.75" customHeight="1">
      <c r="A729" s="180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2"/>
    </row>
    <row r="730" spans="1:12" ht="15.75" customHeight="1">
      <c r="A730" s="180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2"/>
    </row>
    <row r="731" spans="1:12" ht="15.75" customHeight="1">
      <c r="A731" s="180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2"/>
    </row>
    <row r="732" spans="1:12" ht="15.75" customHeight="1">
      <c r="A732" s="180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2"/>
    </row>
    <row r="733" spans="1:12" ht="15.75" customHeight="1">
      <c r="A733" s="180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2"/>
    </row>
    <row r="734" spans="1:12" ht="15.75" customHeight="1">
      <c r="A734" s="180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2"/>
    </row>
    <row r="735" spans="1:12" ht="15.75" customHeight="1">
      <c r="A735" s="180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2"/>
    </row>
    <row r="736" spans="1:12" ht="15.75" customHeight="1">
      <c r="A736" s="180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2"/>
    </row>
    <row r="737" spans="1:12" ht="15.75" customHeight="1">
      <c r="A737" s="180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2"/>
    </row>
    <row r="738" spans="1:12" ht="15.75" customHeight="1">
      <c r="A738" s="180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2"/>
    </row>
    <row r="739" spans="1:12" ht="15.75" customHeight="1">
      <c r="A739" s="180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2"/>
    </row>
    <row r="740" spans="1:12" ht="15.75" customHeight="1">
      <c r="A740" s="180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2"/>
    </row>
    <row r="741" spans="1:12" ht="15.75" customHeight="1">
      <c r="A741" s="180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2"/>
    </row>
    <row r="742" spans="1:12" ht="15.75" customHeight="1">
      <c r="A742" s="180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2"/>
    </row>
    <row r="743" spans="1:12" ht="15.75" customHeight="1">
      <c r="A743" s="180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2"/>
    </row>
    <row r="744" spans="1:12" ht="15.75" customHeight="1">
      <c r="A744" s="180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2"/>
    </row>
    <row r="745" spans="1:12" ht="15.75" customHeight="1">
      <c r="A745" s="180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2"/>
    </row>
    <row r="746" spans="1:12" ht="15.75" customHeight="1">
      <c r="A746" s="180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2"/>
    </row>
    <row r="747" spans="1:12" ht="15.75" customHeight="1">
      <c r="A747" s="180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2"/>
    </row>
    <row r="748" spans="1:12" ht="15.75" customHeight="1">
      <c r="A748" s="180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2"/>
    </row>
    <row r="749" spans="1:12" ht="15.75" customHeight="1">
      <c r="A749" s="180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2"/>
    </row>
    <row r="750" spans="1:12" ht="15.75" customHeight="1">
      <c r="A750" s="180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2"/>
    </row>
    <row r="751" spans="1:12" ht="15.75" customHeight="1">
      <c r="A751" s="180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2"/>
    </row>
    <row r="752" spans="1:12" ht="15.75" customHeight="1">
      <c r="A752" s="180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2"/>
    </row>
    <row r="753" spans="1:12" ht="15.75" customHeight="1">
      <c r="A753" s="180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2"/>
    </row>
    <row r="754" spans="1:12" ht="15.75" customHeight="1">
      <c r="A754" s="180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2"/>
    </row>
    <row r="755" spans="1:12" ht="15.75" customHeight="1">
      <c r="A755" s="180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2"/>
    </row>
    <row r="756" spans="1:12" ht="15.75" customHeight="1">
      <c r="A756" s="180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2"/>
    </row>
    <row r="757" spans="1:12" ht="15.75" customHeight="1">
      <c r="A757" s="180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2"/>
    </row>
    <row r="758" spans="1:12" ht="15.75" customHeight="1">
      <c r="A758" s="180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2"/>
    </row>
    <row r="759" spans="1:12" ht="15.75" customHeight="1">
      <c r="A759" s="180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2"/>
    </row>
    <row r="760" spans="1:12" ht="15.75" customHeight="1">
      <c r="A760" s="180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2"/>
    </row>
    <row r="761" spans="1:12" ht="15.75" customHeight="1">
      <c r="A761" s="180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2"/>
    </row>
    <row r="762" spans="1:12" ht="15.75" customHeight="1">
      <c r="A762" s="180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2"/>
    </row>
    <row r="763" spans="1:12" ht="15.75" customHeight="1">
      <c r="A763" s="180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2"/>
    </row>
    <row r="764" spans="1:12" ht="15.75" customHeight="1">
      <c r="A764" s="180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2"/>
    </row>
    <row r="765" spans="1:12" ht="15.75" customHeight="1">
      <c r="A765" s="180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2"/>
    </row>
    <row r="766" spans="1:12" ht="15.75" customHeight="1">
      <c r="A766" s="180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2"/>
    </row>
    <row r="767" spans="1:12" ht="15.75" customHeight="1">
      <c r="A767" s="180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2"/>
    </row>
    <row r="768" spans="1:12" ht="15.75" customHeight="1">
      <c r="A768" s="180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2"/>
    </row>
    <row r="769" spans="1:12" ht="15.75" customHeight="1">
      <c r="A769" s="180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2"/>
    </row>
    <row r="770" spans="1:12" ht="15.75" customHeight="1">
      <c r="A770" s="180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2"/>
    </row>
    <row r="771" spans="1:12" ht="15.75" customHeight="1">
      <c r="A771" s="180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2"/>
    </row>
    <row r="772" spans="1:12" ht="15.75" customHeight="1">
      <c r="A772" s="180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2"/>
    </row>
    <row r="773" spans="1:12" ht="15.75" customHeight="1">
      <c r="A773" s="180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2"/>
    </row>
    <row r="774" spans="1:12" ht="15.75" customHeight="1">
      <c r="A774" s="180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2"/>
    </row>
    <row r="775" spans="1:12" ht="15.75" customHeight="1">
      <c r="A775" s="180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2"/>
    </row>
    <row r="776" spans="1:12" ht="15.75" customHeight="1">
      <c r="A776" s="180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2"/>
    </row>
    <row r="777" spans="1:12" ht="15.75" customHeight="1">
      <c r="A777" s="180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2"/>
    </row>
    <row r="778" spans="1:12" ht="15.75" customHeight="1">
      <c r="A778" s="180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2"/>
    </row>
    <row r="779" spans="1:12" ht="15.75" customHeight="1">
      <c r="A779" s="180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2"/>
    </row>
    <row r="780" spans="1:12" ht="15.75" customHeight="1">
      <c r="A780" s="180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2"/>
    </row>
    <row r="781" spans="1:12" ht="15.75" customHeight="1">
      <c r="A781" s="180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2"/>
    </row>
    <row r="782" spans="1:12" ht="15.75" customHeight="1">
      <c r="A782" s="180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2"/>
    </row>
    <row r="783" spans="1:12" ht="15.75" customHeight="1">
      <c r="A783" s="180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2"/>
    </row>
    <row r="784" spans="1:12" ht="15.75" customHeight="1">
      <c r="A784" s="180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2"/>
    </row>
    <row r="785" spans="1:12" ht="15.75" customHeight="1">
      <c r="A785" s="180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2"/>
    </row>
    <row r="786" spans="1:12" ht="15.75" customHeight="1">
      <c r="A786" s="180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2"/>
    </row>
    <row r="787" spans="1:12" ht="15.75" customHeight="1">
      <c r="A787" s="180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2"/>
    </row>
    <row r="788" spans="1:12" ht="15.75" customHeight="1">
      <c r="A788" s="180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2"/>
    </row>
    <row r="789" spans="1:12" ht="15.75" customHeight="1">
      <c r="A789" s="180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2"/>
    </row>
    <row r="790" spans="1:12" ht="15.75" customHeight="1">
      <c r="A790" s="180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2"/>
    </row>
    <row r="791" spans="1:12" ht="15.75" customHeight="1">
      <c r="A791" s="180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2"/>
    </row>
    <row r="792" spans="1:12" ht="15.75" customHeight="1">
      <c r="A792" s="180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2"/>
    </row>
    <row r="793" spans="1:12" ht="15.75" customHeight="1">
      <c r="A793" s="180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2"/>
    </row>
    <row r="794" spans="1:12" ht="15.75" customHeight="1">
      <c r="A794" s="180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2"/>
    </row>
    <row r="795" spans="1:12" ht="15.75" customHeight="1">
      <c r="A795" s="180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2"/>
    </row>
    <row r="796" spans="1:12" ht="15.75" customHeight="1">
      <c r="A796" s="180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2"/>
    </row>
    <row r="797" spans="1:12" ht="15.75" customHeight="1">
      <c r="A797" s="180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2"/>
    </row>
    <row r="798" spans="1:12" ht="15.75" customHeight="1">
      <c r="A798" s="180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2"/>
    </row>
    <row r="799" spans="1:12" ht="15.75" customHeight="1">
      <c r="A799" s="180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2"/>
    </row>
    <row r="800" spans="1:12" ht="15.75" customHeight="1">
      <c r="A800" s="180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2"/>
    </row>
    <row r="801" spans="1:12" ht="15.75" customHeight="1">
      <c r="A801" s="180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2"/>
    </row>
    <row r="802" spans="1:12" ht="15.75" customHeight="1">
      <c r="A802" s="180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2"/>
    </row>
    <row r="803" spans="1:12" ht="15.75" customHeight="1">
      <c r="A803" s="180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2"/>
    </row>
    <row r="804" spans="1:12" ht="15.75" customHeight="1">
      <c r="A804" s="180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2"/>
    </row>
    <row r="805" spans="1:12" ht="15.75" customHeight="1">
      <c r="A805" s="180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2"/>
    </row>
    <row r="806" spans="1:12" ht="15.75" customHeight="1">
      <c r="A806" s="180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2"/>
    </row>
    <row r="807" spans="1:12" ht="15.75" customHeight="1">
      <c r="A807" s="180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2"/>
    </row>
    <row r="808" spans="1:12" ht="15.75" customHeight="1">
      <c r="A808" s="180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2"/>
    </row>
    <row r="809" spans="1:12" ht="15.75" customHeight="1">
      <c r="A809" s="180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2"/>
    </row>
    <row r="810" spans="1:12" ht="15.75" customHeight="1">
      <c r="A810" s="180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2"/>
    </row>
    <row r="811" spans="1:12" ht="15.75" customHeight="1">
      <c r="A811" s="180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2"/>
    </row>
    <row r="812" spans="1:12" ht="15.75" customHeight="1">
      <c r="A812" s="180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2"/>
    </row>
    <row r="813" spans="1:12" ht="15.75" customHeight="1">
      <c r="A813" s="180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2"/>
    </row>
    <row r="814" spans="1:12" ht="15.75" customHeight="1">
      <c r="A814" s="180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2"/>
    </row>
    <row r="815" spans="1:12" ht="15.75" customHeight="1">
      <c r="A815" s="180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2"/>
    </row>
    <row r="816" spans="1:12" ht="15.75" customHeight="1">
      <c r="A816" s="180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2"/>
    </row>
    <row r="817" spans="1:12" ht="15.75" customHeight="1">
      <c r="A817" s="180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2"/>
    </row>
    <row r="818" spans="1:12" ht="15.75" customHeight="1">
      <c r="A818" s="180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2"/>
    </row>
    <row r="819" spans="1:12" ht="15.75" customHeight="1">
      <c r="A819" s="180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2"/>
    </row>
    <row r="820" spans="1:12" ht="15.75" customHeight="1">
      <c r="A820" s="180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2"/>
    </row>
    <row r="821" spans="1:12" ht="15.75" customHeight="1">
      <c r="A821" s="180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2"/>
    </row>
    <row r="822" spans="1:12" ht="15.75" customHeight="1">
      <c r="A822" s="180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2"/>
    </row>
    <row r="823" spans="1:12" ht="15.75" customHeight="1">
      <c r="A823" s="180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2"/>
    </row>
    <row r="824" spans="1:12" ht="15.75" customHeight="1">
      <c r="A824" s="180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2"/>
    </row>
    <row r="825" spans="1:12" ht="15.75" customHeight="1">
      <c r="A825" s="180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2"/>
    </row>
    <row r="826" spans="1:12" ht="15.75" customHeight="1">
      <c r="A826" s="180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2"/>
    </row>
    <row r="827" spans="1:12" ht="15.75" customHeight="1">
      <c r="A827" s="180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2"/>
    </row>
    <row r="828" spans="1:12" ht="15.75" customHeight="1">
      <c r="A828" s="180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2"/>
    </row>
    <row r="829" spans="1:12" ht="15.75" customHeight="1">
      <c r="A829" s="180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2"/>
    </row>
    <row r="830" spans="1:12" ht="15.75" customHeight="1">
      <c r="A830" s="180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2"/>
    </row>
    <row r="831" spans="1:12" ht="15.75" customHeight="1">
      <c r="A831" s="180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2"/>
    </row>
    <row r="832" spans="1:12" ht="15.75" customHeight="1">
      <c r="A832" s="180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2"/>
    </row>
    <row r="833" spans="1:12" ht="15.75" customHeight="1">
      <c r="A833" s="180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2"/>
    </row>
    <row r="834" spans="1:12" ht="15.75" customHeight="1">
      <c r="A834" s="180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2"/>
    </row>
    <row r="835" spans="1:12" ht="15.75" customHeight="1">
      <c r="A835" s="180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2"/>
    </row>
    <row r="836" spans="1:12" ht="15.75" customHeight="1">
      <c r="A836" s="183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5"/>
    </row>
  </sheetData>
  <dataValidations count="4">
    <dataValidation type="list" allowBlank="1" sqref="K2:K10" xr:uid="{00000000-0002-0000-0500-000000000000}">
      <formula1>#REF!</formula1>
    </dataValidation>
    <dataValidation type="custom" allowBlank="1" showDropDown="1" sqref="G2:G10 J2:J10" xr:uid="{00000000-0002-0000-0500-000001000000}">
      <formula1>OR(NOT(ISERROR(DATEVALUE(G2))), AND(ISNUMBER(G2), LEFT(CELL("format", G2))="D"))</formula1>
    </dataValidation>
    <dataValidation type="custom" allowBlank="1" showDropDown="1" sqref="I2:I10" xr:uid="{00000000-0002-0000-0500-000002000000}">
      <formula1>AND(ISNUMBER(I2),(NOT(OR(NOT(ISERROR(DATEVALUE(I2))), AND(ISNUMBER(I2), LEFT(CELL("format", I2))="D")))))</formula1>
    </dataValidation>
    <dataValidation allowBlank="1" showDropDown="1" sqref="B2:F10 H2:H10 L2:L10" xr:uid="{00000000-0002-0000-0500-000003000000}"/>
  </dataValidations>
  <pageMargins left="0.75" right="0.75" top="1" bottom="1" header="0" footer="0"/>
  <pageSetup paperSize="9"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D68F"/>
  </sheetPr>
  <dimension ref="A1:L8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8.5703125" customWidth="1"/>
    <col min="2" max="2" width="20" customWidth="1"/>
    <col min="3" max="3" width="28" customWidth="1"/>
    <col min="4" max="4" width="23.85546875" customWidth="1"/>
    <col min="5" max="5" width="16" customWidth="1"/>
    <col min="6" max="6" width="25" customWidth="1"/>
    <col min="7" max="7" width="43" customWidth="1"/>
    <col min="8" max="8" width="19.5703125" customWidth="1"/>
    <col min="9" max="9" width="23.7109375" customWidth="1"/>
    <col min="10" max="10" width="21.5703125" customWidth="1"/>
    <col min="11" max="11" width="15.5703125" customWidth="1"/>
    <col min="12" max="12" width="30" customWidth="1"/>
  </cols>
  <sheetData>
    <row r="1" spans="1:12" ht="30" customHeight="1">
      <c r="A1" s="33" t="s">
        <v>13</v>
      </c>
      <c r="B1" s="33" t="s">
        <v>10</v>
      </c>
      <c r="C1" s="33" t="s">
        <v>14</v>
      </c>
      <c r="D1" s="33" t="s">
        <v>15</v>
      </c>
      <c r="E1" s="33" t="s">
        <v>19</v>
      </c>
      <c r="F1" s="33" t="s">
        <v>20</v>
      </c>
      <c r="G1" s="33" t="s">
        <v>1261</v>
      </c>
      <c r="H1" s="33" t="s">
        <v>1268</v>
      </c>
      <c r="I1" s="33" t="s">
        <v>1263</v>
      </c>
      <c r="J1" s="33" t="s">
        <v>1269</v>
      </c>
      <c r="K1" s="188" t="s">
        <v>1270</v>
      </c>
      <c r="L1" s="33" t="s">
        <v>27</v>
      </c>
    </row>
    <row r="2" spans="1:12" ht="19.5" customHeight="1">
      <c r="A2" s="189" t="s">
        <v>1271</v>
      </c>
      <c r="B2" s="54" t="s">
        <v>255</v>
      </c>
      <c r="C2" s="54" t="s">
        <v>1272</v>
      </c>
      <c r="D2" s="54" t="s">
        <v>1273</v>
      </c>
      <c r="E2" s="54" t="s">
        <v>1274</v>
      </c>
      <c r="F2" s="54"/>
      <c r="G2" s="54"/>
      <c r="H2" s="190"/>
      <c r="I2" s="191"/>
      <c r="J2" s="191"/>
      <c r="K2" s="54" t="str">
        <f t="shared" ref="K2:K12" si="0">IF($D2&lt;&gt;"","KD-"&amp;TEXT(ROW()-1,"000"),"")</f>
        <v>KD-001</v>
      </c>
      <c r="L2" s="54"/>
    </row>
    <row r="3" spans="1:12" ht="19.5" customHeight="1">
      <c r="A3" s="189" t="s">
        <v>1271</v>
      </c>
      <c r="B3" s="54" t="s">
        <v>255</v>
      </c>
      <c r="C3" s="54" t="s">
        <v>1275</v>
      </c>
      <c r="D3" s="54" t="s">
        <v>1276</v>
      </c>
      <c r="E3" s="54" t="s">
        <v>1277</v>
      </c>
      <c r="F3" s="54"/>
      <c r="G3" s="54"/>
      <c r="H3" s="190"/>
      <c r="I3" s="191"/>
      <c r="J3" s="191"/>
      <c r="K3" s="54" t="str">
        <f t="shared" si="0"/>
        <v>KD-002</v>
      </c>
      <c r="L3" s="54"/>
    </row>
    <row r="4" spans="1:12" ht="19.5" customHeight="1">
      <c r="A4" s="175" t="s">
        <v>1257</v>
      </c>
      <c r="B4" s="36" t="s">
        <v>255</v>
      </c>
      <c r="C4" s="36" t="s">
        <v>256</v>
      </c>
      <c r="D4" s="36" t="s">
        <v>257</v>
      </c>
      <c r="E4" s="176" t="s">
        <v>1258</v>
      </c>
      <c r="F4" s="36" t="s">
        <v>262</v>
      </c>
      <c r="G4" s="36" t="s">
        <v>1265</v>
      </c>
      <c r="H4" s="192">
        <v>1300</v>
      </c>
      <c r="I4" s="38">
        <v>46174</v>
      </c>
      <c r="J4" s="38">
        <v>46178</v>
      </c>
      <c r="K4" s="186" t="str">
        <f t="shared" si="0"/>
        <v>KD-003</v>
      </c>
      <c r="L4" s="186"/>
    </row>
    <row r="5" spans="1:12" ht="19.5" customHeight="1">
      <c r="A5" s="178" t="s">
        <v>1271</v>
      </c>
      <c r="B5" s="46" t="s">
        <v>28</v>
      </c>
      <c r="C5" s="46" t="s">
        <v>1278</v>
      </c>
      <c r="D5" s="46" t="s">
        <v>1279</v>
      </c>
      <c r="E5" s="46" t="s">
        <v>1280</v>
      </c>
      <c r="F5" s="46"/>
      <c r="G5" s="46"/>
      <c r="H5" s="193"/>
      <c r="I5" s="44"/>
      <c r="J5" s="44"/>
      <c r="K5" s="186" t="str">
        <f t="shared" si="0"/>
        <v>KD-004</v>
      </c>
      <c r="L5" s="187"/>
    </row>
    <row r="6" spans="1:12" ht="19.5" customHeight="1">
      <c r="A6" s="178"/>
      <c r="B6" s="46"/>
      <c r="C6" s="46"/>
      <c r="D6" s="46"/>
      <c r="E6" s="46"/>
      <c r="F6" s="46"/>
      <c r="G6" s="46"/>
      <c r="H6" s="193"/>
      <c r="I6" s="44"/>
      <c r="J6" s="44"/>
      <c r="K6" s="186" t="str">
        <f t="shared" si="0"/>
        <v/>
      </c>
      <c r="L6" s="187"/>
    </row>
    <row r="7" spans="1:12" ht="19.5" customHeight="1">
      <c r="A7" s="178"/>
      <c r="B7" s="46"/>
      <c r="C7" s="46"/>
      <c r="D7" s="46"/>
      <c r="E7" s="46"/>
      <c r="F7" s="46"/>
      <c r="G7" s="46"/>
      <c r="H7" s="193"/>
      <c r="I7" s="44"/>
      <c r="J7" s="44"/>
      <c r="K7" s="186" t="str">
        <f t="shared" si="0"/>
        <v/>
      </c>
      <c r="L7" s="187"/>
    </row>
    <row r="8" spans="1:12" ht="19.5" customHeight="1">
      <c r="A8" s="178"/>
      <c r="B8" s="46"/>
      <c r="C8" s="46"/>
      <c r="D8" s="46"/>
      <c r="E8" s="46"/>
      <c r="F8" s="46"/>
      <c r="G8" s="46"/>
      <c r="H8" s="193"/>
      <c r="I8" s="44"/>
      <c r="J8" s="44"/>
      <c r="K8" s="186" t="str">
        <f t="shared" si="0"/>
        <v/>
      </c>
      <c r="L8" s="187"/>
    </row>
    <row r="9" spans="1:12" ht="19.5" customHeight="1">
      <c r="A9" s="178"/>
      <c r="B9" s="46"/>
      <c r="C9" s="46"/>
      <c r="D9" s="46"/>
      <c r="E9" s="46"/>
      <c r="F9" s="46"/>
      <c r="G9" s="46"/>
      <c r="H9" s="193"/>
      <c r="I9" s="44"/>
      <c r="J9" s="44"/>
      <c r="K9" s="186" t="str">
        <f t="shared" si="0"/>
        <v/>
      </c>
      <c r="L9" s="187"/>
    </row>
    <row r="10" spans="1:12" ht="19.5" customHeight="1">
      <c r="A10" s="178"/>
      <c r="B10" s="46"/>
      <c r="C10" s="46"/>
      <c r="D10" s="46"/>
      <c r="E10" s="46"/>
      <c r="F10" s="46"/>
      <c r="G10" s="46"/>
      <c r="H10" s="193"/>
      <c r="I10" s="44"/>
      <c r="J10" s="44"/>
      <c r="K10" s="186" t="str">
        <f t="shared" si="0"/>
        <v/>
      </c>
      <c r="L10" s="187"/>
    </row>
    <row r="11" spans="1:12" ht="19.5" customHeight="1">
      <c r="A11" s="178"/>
      <c r="B11" s="46"/>
      <c r="C11" s="46"/>
      <c r="D11" s="46"/>
      <c r="E11" s="46"/>
      <c r="F11" s="46"/>
      <c r="G11" s="46"/>
      <c r="H11" s="193"/>
      <c r="I11" s="44"/>
      <c r="J11" s="44"/>
      <c r="K11" s="186" t="str">
        <f t="shared" si="0"/>
        <v/>
      </c>
      <c r="L11" s="187"/>
    </row>
    <row r="12" spans="1:12" ht="15.75" customHeight="1">
      <c r="A12" s="178"/>
      <c r="B12" s="46"/>
      <c r="C12" s="46"/>
      <c r="D12" s="46"/>
      <c r="E12" s="46"/>
      <c r="F12" s="46"/>
      <c r="G12" s="46"/>
      <c r="H12" s="193"/>
      <c r="I12" s="44"/>
      <c r="J12" s="44"/>
      <c r="K12" s="186" t="str">
        <f t="shared" si="0"/>
        <v/>
      </c>
      <c r="L12" s="187"/>
    </row>
    <row r="13" spans="1:12" ht="15.75" customHeigh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2"/>
      <c r="L13" s="182"/>
    </row>
    <row r="14" spans="1:12" ht="15.75" customHeigh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2"/>
      <c r="L14" s="182"/>
    </row>
    <row r="15" spans="1:12" ht="15.75" customHeigh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2"/>
      <c r="L15" s="182"/>
    </row>
    <row r="16" spans="1:12" ht="15.75" customHeigh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2"/>
      <c r="L16" s="182"/>
    </row>
    <row r="17" spans="1:12" ht="15.75" customHeigh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2"/>
      <c r="L17" s="182"/>
    </row>
    <row r="18" spans="1:12" ht="15.75" customHeigh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2"/>
      <c r="L18" s="182"/>
    </row>
    <row r="19" spans="1:12" ht="15.75" customHeigh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2"/>
      <c r="L19" s="182"/>
    </row>
    <row r="20" spans="1:12" ht="15.75" customHeigh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2"/>
      <c r="L20" s="182"/>
    </row>
    <row r="21" spans="1:12" ht="15.75" customHeigh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2"/>
      <c r="L21" s="182"/>
    </row>
    <row r="22" spans="1:12" ht="15.75" customHeigh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2"/>
      <c r="L22" s="182"/>
    </row>
    <row r="23" spans="1:12" ht="15.75" customHeigh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2"/>
    </row>
    <row r="24" spans="1:12" ht="15.75" customHeigh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2"/>
    </row>
    <row r="25" spans="1:12" ht="15.75" customHeigh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2"/>
    </row>
    <row r="26" spans="1:12" ht="15.75" customHeigh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2"/>
      <c r="L26" s="182"/>
    </row>
    <row r="27" spans="1:12" ht="15.75" customHeigh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2"/>
      <c r="L27" s="182"/>
    </row>
    <row r="28" spans="1:12" ht="15.75" customHeigh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2"/>
      <c r="L28" s="182"/>
    </row>
    <row r="29" spans="1:12" ht="15.75" customHeigh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2"/>
      <c r="L29" s="182"/>
    </row>
    <row r="30" spans="1:12" ht="15.75" customHeigh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2"/>
      <c r="L30" s="182"/>
    </row>
    <row r="31" spans="1:12" ht="15.75" customHeigh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2"/>
      <c r="L31" s="182"/>
    </row>
    <row r="32" spans="1:12" ht="15.75" customHeigh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2"/>
      <c r="L32" s="182"/>
    </row>
    <row r="33" spans="1:12" ht="15.75" customHeigh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2"/>
      <c r="L33" s="182"/>
    </row>
    <row r="34" spans="1:12" ht="15.75" customHeigh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2"/>
      <c r="L34" s="182"/>
    </row>
    <row r="35" spans="1:12" ht="15.75" customHeigh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2"/>
      <c r="L35" s="182"/>
    </row>
    <row r="36" spans="1:12" ht="15.75" customHeigh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2"/>
      <c r="L36" s="182"/>
    </row>
    <row r="37" spans="1:12" ht="15.75" customHeigh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2"/>
      <c r="L37" s="182"/>
    </row>
    <row r="38" spans="1:12" ht="15.75" customHeigh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2"/>
      <c r="L38" s="182"/>
    </row>
    <row r="39" spans="1:12" ht="15.75" customHeigh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2"/>
      <c r="L39" s="182"/>
    </row>
    <row r="40" spans="1:12" ht="15.75" customHeigh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2"/>
      <c r="L40" s="182"/>
    </row>
    <row r="41" spans="1:12" ht="15.75" customHeigh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2"/>
      <c r="L41" s="182"/>
    </row>
    <row r="42" spans="1:12" ht="15.75" customHeigh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2"/>
      <c r="L42" s="182"/>
    </row>
    <row r="43" spans="1:12" ht="15.75" customHeigh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2"/>
      <c r="L43" s="182"/>
    </row>
    <row r="44" spans="1:12" ht="15.75" customHeigh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2"/>
      <c r="L44" s="182"/>
    </row>
    <row r="45" spans="1:12" ht="15.75" customHeigh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2"/>
      <c r="L45" s="182"/>
    </row>
    <row r="46" spans="1:12" ht="15.75" customHeigh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2"/>
      <c r="L46" s="182"/>
    </row>
    <row r="47" spans="1:12" ht="15.75" customHeigh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2"/>
      <c r="L47" s="182"/>
    </row>
    <row r="48" spans="1:12" ht="15.75" customHeigh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2"/>
      <c r="L48" s="182"/>
    </row>
    <row r="49" spans="1:12" ht="15.75" customHeigh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2"/>
      <c r="L49" s="182"/>
    </row>
    <row r="50" spans="1:12" ht="15.75" customHeigh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2"/>
      <c r="L50" s="182"/>
    </row>
    <row r="51" spans="1:12" ht="15.75" customHeigh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2"/>
      <c r="L51" s="182"/>
    </row>
    <row r="52" spans="1:12" ht="15.75" customHeigh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2"/>
      <c r="L52" s="182"/>
    </row>
    <row r="53" spans="1:12" ht="15.75" customHeigh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2"/>
      <c r="L53" s="182"/>
    </row>
    <row r="54" spans="1:12" ht="15.75" customHeigh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2"/>
      <c r="L54" s="182"/>
    </row>
    <row r="55" spans="1:12" ht="15.75" customHeigh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2"/>
      <c r="L55" s="182"/>
    </row>
    <row r="56" spans="1:12" ht="15.75" customHeigh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2"/>
      <c r="L56" s="182"/>
    </row>
    <row r="57" spans="1:12" ht="15.75" customHeigh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2"/>
      <c r="L57" s="182"/>
    </row>
    <row r="58" spans="1:12" ht="15.75" customHeigh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2"/>
      <c r="L58" s="182"/>
    </row>
    <row r="59" spans="1:12" ht="15.75" customHeigh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2"/>
      <c r="L59" s="182"/>
    </row>
    <row r="60" spans="1:12" ht="15.75" customHeigh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2"/>
      <c r="L60" s="182"/>
    </row>
    <row r="61" spans="1:12" ht="15.75" customHeigh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2"/>
      <c r="L61" s="182"/>
    </row>
    <row r="62" spans="1:12" ht="15.75" customHeigh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2"/>
      <c r="L62" s="182"/>
    </row>
    <row r="63" spans="1:12" ht="15.75" customHeigh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2"/>
      <c r="L63" s="182"/>
    </row>
    <row r="64" spans="1:12" ht="15.75" customHeigh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2"/>
      <c r="L64" s="182"/>
    </row>
    <row r="65" spans="1:12" ht="15.75" customHeigh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2"/>
      <c r="L65" s="182"/>
    </row>
    <row r="66" spans="1:12" ht="15.75" customHeigh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2"/>
      <c r="L66" s="182"/>
    </row>
    <row r="67" spans="1:12" ht="15.75" customHeigh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2"/>
      <c r="L67" s="182"/>
    </row>
    <row r="68" spans="1:12" ht="15.75" customHeigh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2"/>
      <c r="L68" s="182"/>
    </row>
    <row r="69" spans="1:12" ht="15.75" customHeigh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2"/>
      <c r="L69" s="182"/>
    </row>
    <row r="70" spans="1:12" ht="15.75" customHeigh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2"/>
      <c r="L70" s="182"/>
    </row>
    <row r="71" spans="1:12" ht="15.75" customHeigh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2"/>
      <c r="L71" s="182"/>
    </row>
    <row r="72" spans="1:12" ht="15.75" customHeigh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2"/>
      <c r="L72" s="182"/>
    </row>
    <row r="73" spans="1:12" ht="15.75" customHeigh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2"/>
      <c r="L73" s="182"/>
    </row>
    <row r="74" spans="1:12" ht="15.75" customHeigh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2"/>
      <c r="L74" s="182"/>
    </row>
    <row r="75" spans="1:12" ht="15.75" customHeigh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2"/>
      <c r="L75" s="182"/>
    </row>
    <row r="76" spans="1:12" ht="15.75" customHeigh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2"/>
      <c r="L76" s="182"/>
    </row>
    <row r="77" spans="1:12" ht="15.75" customHeigh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2"/>
      <c r="L77" s="182"/>
    </row>
    <row r="78" spans="1:12" ht="15.75" customHeigh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2"/>
      <c r="L78" s="182"/>
    </row>
    <row r="79" spans="1:12" ht="15.75" customHeight="1">
      <c r="A79" s="180"/>
      <c r="B79" s="181"/>
      <c r="C79" s="181"/>
      <c r="D79" s="181"/>
      <c r="E79" s="181"/>
      <c r="F79" s="181"/>
      <c r="G79" s="181"/>
      <c r="H79" s="181"/>
      <c r="I79" s="181"/>
      <c r="J79" s="181"/>
      <c r="K79" s="182"/>
      <c r="L79" s="182"/>
    </row>
    <row r="80" spans="1:12" ht="15.75" customHeigh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2"/>
      <c r="L80" s="182"/>
    </row>
    <row r="81" spans="1:12" ht="15.75" customHeigh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2"/>
      <c r="L81" s="182"/>
    </row>
    <row r="82" spans="1:12" ht="15.75" customHeight="1">
      <c r="A82" s="180"/>
      <c r="B82" s="181"/>
      <c r="C82" s="181"/>
      <c r="D82" s="181"/>
      <c r="E82" s="181"/>
      <c r="F82" s="181"/>
      <c r="G82" s="181"/>
      <c r="H82" s="181"/>
      <c r="I82" s="181"/>
      <c r="J82" s="181"/>
      <c r="K82" s="182"/>
      <c r="L82" s="182"/>
    </row>
    <row r="83" spans="1:12" ht="15.75" customHeigh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2"/>
      <c r="L83" s="182"/>
    </row>
    <row r="84" spans="1:12" ht="15.75" customHeigh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2"/>
      <c r="L84" s="182"/>
    </row>
    <row r="85" spans="1:12" ht="15.75" customHeigh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2"/>
      <c r="L85" s="182"/>
    </row>
    <row r="86" spans="1:12" ht="15.75" customHeigh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2"/>
      <c r="L86" s="182"/>
    </row>
    <row r="87" spans="1:12" ht="15.75" customHeigh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2"/>
      <c r="L87" s="182"/>
    </row>
    <row r="88" spans="1:12" ht="15.75" customHeigh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2"/>
      <c r="L88" s="182"/>
    </row>
    <row r="89" spans="1:12" ht="15.75" customHeigh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2"/>
      <c r="L89" s="182"/>
    </row>
    <row r="90" spans="1:12" ht="15.75" customHeigh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2"/>
      <c r="L90" s="182"/>
    </row>
    <row r="91" spans="1:12" ht="15.75" customHeigh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2"/>
      <c r="L91" s="182"/>
    </row>
    <row r="92" spans="1:12" ht="15.75" customHeigh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2"/>
      <c r="L92" s="182"/>
    </row>
    <row r="93" spans="1:12" ht="15.75" customHeigh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2"/>
      <c r="L93" s="182"/>
    </row>
    <row r="94" spans="1:12" ht="15.75" customHeigh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2"/>
      <c r="L94" s="182"/>
    </row>
    <row r="95" spans="1:12" ht="15.75" customHeigh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2"/>
      <c r="L95" s="182"/>
    </row>
    <row r="96" spans="1:12" ht="15.75" customHeigh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2"/>
      <c r="L96" s="182"/>
    </row>
    <row r="97" spans="1:12" ht="15.75" customHeigh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2"/>
      <c r="L97" s="182"/>
    </row>
    <row r="98" spans="1:12" ht="15.75" customHeigh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2"/>
      <c r="L98" s="182"/>
    </row>
    <row r="99" spans="1:12" ht="15.75" customHeigh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2"/>
      <c r="L99" s="182"/>
    </row>
    <row r="100" spans="1:12" ht="15.75" customHeigh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2"/>
      <c r="L100" s="182"/>
    </row>
    <row r="101" spans="1:12" ht="15.75" customHeigh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2"/>
      <c r="L101" s="182"/>
    </row>
    <row r="102" spans="1:12" ht="15.75" customHeigh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2"/>
      <c r="L102" s="182"/>
    </row>
    <row r="103" spans="1:12" ht="15.75" customHeigh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2"/>
      <c r="L103" s="182"/>
    </row>
    <row r="104" spans="1:12" ht="15.75" customHeigh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2"/>
      <c r="L104" s="182"/>
    </row>
    <row r="105" spans="1:12" ht="15.75" customHeight="1">
      <c r="A105" s="180"/>
      <c r="B105" s="181"/>
      <c r="C105" s="181"/>
      <c r="D105" s="181"/>
      <c r="E105" s="181"/>
      <c r="F105" s="181"/>
      <c r="G105" s="181"/>
      <c r="H105" s="181"/>
      <c r="I105" s="181"/>
      <c r="J105" s="181"/>
      <c r="K105" s="182"/>
      <c r="L105" s="182"/>
    </row>
    <row r="106" spans="1:12" ht="15.75" customHeight="1">
      <c r="A106" s="180"/>
      <c r="B106" s="181"/>
      <c r="C106" s="181"/>
      <c r="D106" s="181"/>
      <c r="E106" s="181"/>
      <c r="F106" s="181"/>
      <c r="G106" s="181"/>
      <c r="H106" s="181"/>
      <c r="I106" s="181"/>
      <c r="J106" s="181"/>
      <c r="K106" s="182"/>
      <c r="L106" s="182"/>
    </row>
    <row r="107" spans="1:12" ht="15.75" customHeight="1">
      <c r="A107" s="180"/>
      <c r="B107" s="181"/>
      <c r="C107" s="181"/>
      <c r="D107" s="181"/>
      <c r="E107" s="181"/>
      <c r="F107" s="181"/>
      <c r="G107" s="181"/>
      <c r="H107" s="181"/>
      <c r="I107" s="181"/>
      <c r="J107" s="181"/>
      <c r="K107" s="182"/>
      <c r="L107" s="182"/>
    </row>
    <row r="108" spans="1:12" ht="15.75" customHeight="1">
      <c r="A108" s="180"/>
      <c r="B108" s="181"/>
      <c r="C108" s="181"/>
      <c r="D108" s="181"/>
      <c r="E108" s="181"/>
      <c r="F108" s="181"/>
      <c r="G108" s="181"/>
      <c r="H108" s="181"/>
      <c r="I108" s="181"/>
      <c r="J108" s="181"/>
      <c r="K108" s="182"/>
      <c r="L108" s="182"/>
    </row>
    <row r="109" spans="1:12" ht="15.75" customHeight="1">
      <c r="A109" s="180"/>
      <c r="B109" s="181"/>
      <c r="C109" s="181"/>
      <c r="D109" s="181"/>
      <c r="E109" s="181"/>
      <c r="F109" s="181"/>
      <c r="G109" s="181"/>
      <c r="H109" s="181"/>
      <c r="I109" s="181"/>
      <c r="J109" s="181"/>
      <c r="K109" s="182"/>
      <c r="L109" s="182"/>
    </row>
    <row r="110" spans="1:12" ht="15.75" customHeight="1">
      <c r="A110" s="180"/>
      <c r="B110" s="181"/>
      <c r="C110" s="181"/>
      <c r="D110" s="181"/>
      <c r="E110" s="181"/>
      <c r="F110" s="181"/>
      <c r="G110" s="181"/>
      <c r="H110" s="181"/>
      <c r="I110" s="181"/>
      <c r="J110" s="181"/>
      <c r="K110" s="182"/>
      <c r="L110" s="182"/>
    </row>
    <row r="111" spans="1:12" ht="15.75" customHeight="1">
      <c r="A111" s="180"/>
      <c r="B111" s="181"/>
      <c r="C111" s="181"/>
      <c r="D111" s="181"/>
      <c r="E111" s="181"/>
      <c r="F111" s="181"/>
      <c r="G111" s="181"/>
      <c r="H111" s="181"/>
      <c r="I111" s="181"/>
      <c r="J111" s="181"/>
      <c r="K111" s="182"/>
      <c r="L111" s="182"/>
    </row>
    <row r="112" spans="1:12" ht="15.75" customHeight="1">
      <c r="A112" s="180"/>
      <c r="B112" s="181"/>
      <c r="C112" s="181"/>
      <c r="D112" s="181"/>
      <c r="E112" s="181"/>
      <c r="F112" s="181"/>
      <c r="G112" s="181"/>
      <c r="H112" s="181"/>
      <c r="I112" s="181"/>
      <c r="J112" s="181"/>
      <c r="K112" s="182"/>
      <c r="L112" s="182"/>
    </row>
    <row r="113" spans="1:12" ht="15.75" customHeight="1">
      <c r="A113" s="180"/>
      <c r="B113" s="181"/>
      <c r="C113" s="181"/>
      <c r="D113" s="181"/>
      <c r="E113" s="181"/>
      <c r="F113" s="181"/>
      <c r="G113" s="181"/>
      <c r="H113" s="181"/>
      <c r="I113" s="181"/>
      <c r="J113" s="181"/>
      <c r="K113" s="182"/>
      <c r="L113" s="182"/>
    </row>
    <row r="114" spans="1:12" ht="15.75" customHeight="1">
      <c r="A114" s="180"/>
      <c r="B114" s="181"/>
      <c r="C114" s="181"/>
      <c r="D114" s="181"/>
      <c r="E114" s="181"/>
      <c r="F114" s="181"/>
      <c r="G114" s="181"/>
      <c r="H114" s="181"/>
      <c r="I114" s="181"/>
      <c r="J114" s="181"/>
      <c r="K114" s="182"/>
      <c r="L114" s="182"/>
    </row>
    <row r="115" spans="1:12" ht="15.75" customHeight="1">
      <c r="A115" s="180"/>
      <c r="B115" s="181"/>
      <c r="C115" s="181"/>
      <c r="D115" s="181"/>
      <c r="E115" s="181"/>
      <c r="F115" s="181"/>
      <c r="G115" s="181"/>
      <c r="H115" s="181"/>
      <c r="I115" s="181"/>
      <c r="J115" s="181"/>
      <c r="K115" s="182"/>
      <c r="L115" s="182"/>
    </row>
    <row r="116" spans="1:12" ht="15.75" customHeight="1">
      <c r="A116" s="180"/>
      <c r="B116" s="181"/>
      <c r="C116" s="181"/>
      <c r="D116" s="181"/>
      <c r="E116" s="181"/>
      <c r="F116" s="181"/>
      <c r="G116" s="181"/>
      <c r="H116" s="181"/>
      <c r="I116" s="181"/>
      <c r="J116" s="181"/>
      <c r="K116" s="182"/>
      <c r="L116" s="182"/>
    </row>
    <row r="117" spans="1:12" ht="15.75" customHeight="1">
      <c r="A117" s="180"/>
      <c r="B117" s="181"/>
      <c r="C117" s="181"/>
      <c r="D117" s="181"/>
      <c r="E117" s="181"/>
      <c r="F117" s="181"/>
      <c r="G117" s="181"/>
      <c r="H117" s="181"/>
      <c r="I117" s="181"/>
      <c r="J117" s="181"/>
      <c r="K117" s="182"/>
      <c r="L117" s="182"/>
    </row>
    <row r="118" spans="1:12" ht="15.75" customHeight="1">
      <c r="A118" s="180"/>
      <c r="B118" s="181"/>
      <c r="C118" s="181"/>
      <c r="D118" s="181"/>
      <c r="E118" s="181"/>
      <c r="F118" s="181"/>
      <c r="G118" s="181"/>
      <c r="H118" s="181"/>
      <c r="I118" s="181"/>
      <c r="J118" s="181"/>
      <c r="K118" s="182"/>
      <c r="L118" s="182"/>
    </row>
    <row r="119" spans="1:12" ht="15.75" customHeight="1">
      <c r="A119" s="180"/>
      <c r="B119" s="181"/>
      <c r="C119" s="181"/>
      <c r="D119" s="181"/>
      <c r="E119" s="181"/>
      <c r="F119" s="181"/>
      <c r="G119" s="181"/>
      <c r="H119" s="181"/>
      <c r="I119" s="181"/>
      <c r="J119" s="181"/>
      <c r="K119" s="182"/>
      <c r="L119" s="182"/>
    </row>
    <row r="120" spans="1:12" ht="15.75" customHeight="1">
      <c r="A120" s="180"/>
      <c r="B120" s="181"/>
      <c r="C120" s="181"/>
      <c r="D120" s="181"/>
      <c r="E120" s="181"/>
      <c r="F120" s="181"/>
      <c r="G120" s="181"/>
      <c r="H120" s="181"/>
      <c r="I120" s="181"/>
      <c r="J120" s="181"/>
      <c r="K120" s="182"/>
      <c r="L120" s="182"/>
    </row>
    <row r="121" spans="1:12" ht="15.75" customHeight="1">
      <c r="A121" s="180"/>
      <c r="B121" s="181"/>
      <c r="C121" s="181"/>
      <c r="D121" s="181"/>
      <c r="E121" s="181"/>
      <c r="F121" s="181"/>
      <c r="G121" s="181"/>
      <c r="H121" s="181"/>
      <c r="I121" s="181"/>
      <c r="J121" s="181"/>
      <c r="K121" s="182"/>
      <c r="L121" s="182"/>
    </row>
    <row r="122" spans="1:12" ht="15.75" customHeight="1">
      <c r="A122" s="180"/>
      <c r="B122" s="181"/>
      <c r="C122" s="181"/>
      <c r="D122" s="181"/>
      <c r="E122" s="181"/>
      <c r="F122" s="181"/>
      <c r="G122" s="181"/>
      <c r="H122" s="181"/>
      <c r="I122" s="181"/>
      <c r="J122" s="181"/>
      <c r="K122" s="182"/>
      <c r="L122" s="182"/>
    </row>
    <row r="123" spans="1:12" ht="15.75" customHeight="1">
      <c r="A123" s="180"/>
      <c r="B123" s="181"/>
      <c r="C123" s="181"/>
      <c r="D123" s="181"/>
      <c r="E123" s="181"/>
      <c r="F123" s="181"/>
      <c r="G123" s="181"/>
      <c r="H123" s="181"/>
      <c r="I123" s="181"/>
      <c r="J123" s="181"/>
      <c r="K123" s="182"/>
      <c r="L123" s="182"/>
    </row>
    <row r="124" spans="1:12" ht="15.75" customHeight="1">
      <c r="A124" s="180"/>
      <c r="B124" s="181"/>
      <c r="C124" s="181"/>
      <c r="D124" s="181"/>
      <c r="E124" s="181"/>
      <c r="F124" s="181"/>
      <c r="G124" s="181"/>
      <c r="H124" s="181"/>
      <c r="I124" s="181"/>
      <c r="J124" s="181"/>
      <c r="K124" s="182"/>
      <c r="L124" s="182"/>
    </row>
    <row r="125" spans="1:12" ht="15.75" customHeight="1">
      <c r="A125" s="180"/>
      <c r="B125" s="181"/>
      <c r="C125" s="181"/>
      <c r="D125" s="181"/>
      <c r="E125" s="181"/>
      <c r="F125" s="181"/>
      <c r="G125" s="181"/>
      <c r="H125" s="181"/>
      <c r="I125" s="181"/>
      <c r="J125" s="181"/>
      <c r="K125" s="182"/>
      <c r="L125" s="182"/>
    </row>
    <row r="126" spans="1:12" ht="15.75" customHeight="1">
      <c r="A126" s="180"/>
      <c r="B126" s="181"/>
      <c r="C126" s="181"/>
      <c r="D126" s="181"/>
      <c r="E126" s="181"/>
      <c r="F126" s="181"/>
      <c r="G126" s="181"/>
      <c r="H126" s="181"/>
      <c r="I126" s="181"/>
      <c r="J126" s="181"/>
      <c r="K126" s="182"/>
      <c r="L126" s="182"/>
    </row>
    <row r="127" spans="1:12" ht="15.75" customHeight="1">
      <c r="A127" s="180"/>
      <c r="B127" s="181"/>
      <c r="C127" s="181"/>
      <c r="D127" s="181"/>
      <c r="E127" s="181"/>
      <c r="F127" s="181"/>
      <c r="G127" s="181"/>
      <c r="H127" s="181"/>
      <c r="I127" s="181"/>
      <c r="J127" s="181"/>
      <c r="K127" s="182"/>
      <c r="L127" s="182"/>
    </row>
    <row r="128" spans="1:12" ht="15.75" customHeight="1">
      <c r="A128" s="180"/>
      <c r="B128" s="181"/>
      <c r="C128" s="181"/>
      <c r="D128" s="181"/>
      <c r="E128" s="181"/>
      <c r="F128" s="181"/>
      <c r="G128" s="181"/>
      <c r="H128" s="181"/>
      <c r="I128" s="181"/>
      <c r="J128" s="181"/>
      <c r="K128" s="182"/>
      <c r="L128" s="182"/>
    </row>
    <row r="129" spans="1:12" ht="15.75" customHeight="1">
      <c r="A129" s="180"/>
      <c r="B129" s="181"/>
      <c r="C129" s="181"/>
      <c r="D129" s="181"/>
      <c r="E129" s="181"/>
      <c r="F129" s="181"/>
      <c r="G129" s="181"/>
      <c r="H129" s="181"/>
      <c r="I129" s="181"/>
      <c r="J129" s="181"/>
      <c r="K129" s="182"/>
      <c r="L129" s="182"/>
    </row>
    <row r="130" spans="1:12" ht="15.75" customHeight="1">
      <c r="A130" s="180"/>
      <c r="B130" s="181"/>
      <c r="C130" s="181"/>
      <c r="D130" s="181"/>
      <c r="E130" s="181"/>
      <c r="F130" s="181"/>
      <c r="G130" s="181"/>
      <c r="H130" s="181"/>
      <c r="I130" s="181"/>
      <c r="J130" s="181"/>
      <c r="K130" s="182"/>
      <c r="L130" s="182"/>
    </row>
    <row r="131" spans="1:12" ht="15.75" customHeight="1">
      <c r="A131" s="180"/>
      <c r="B131" s="181"/>
      <c r="C131" s="181"/>
      <c r="D131" s="181"/>
      <c r="E131" s="181"/>
      <c r="F131" s="181"/>
      <c r="G131" s="181"/>
      <c r="H131" s="181"/>
      <c r="I131" s="181"/>
      <c r="J131" s="181"/>
      <c r="K131" s="182"/>
      <c r="L131" s="182"/>
    </row>
    <row r="132" spans="1:12" ht="15.75" customHeight="1">
      <c r="A132" s="180"/>
      <c r="B132" s="181"/>
      <c r="C132" s="181"/>
      <c r="D132" s="181"/>
      <c r="E132" s="181"/>
      <c r="F132" s="181"/>
      <c r="G132" s="181"/>
      <c r="H132" s="181"/>
      <c r="I132" s="181"/>
      <c r="J132" s="181"/>
      <c r="K132" s="182"/>
      <c r="L132" s="182"/>
    </row>
    <row r="133" spans="1:12" ht="15.75" customHeight="1">
      <c r="A133" s="180"/>
      <c r="B133" s="181"/>
      <c r="C133" s="181"/>
      <c r="D133" s="181"/>
      <c r="E133" s="181"/>
      <c r="F133" s="181"/>
      <c r="G133" s="181"/>
      <c r="H133" s="181"/>
      <c r="I133" s="181"/>
      <c r="J133" s="181"/>
      <c r="K133" s="182"/>
      <c r="L133" s="182"/>
    </row>
    <row r="134" spans="1:12" ht="15.75" customHeight="1">
      <c r="A134" s="180"/>
      <c r="B134" s="181"/>
      <c r="C134" s="181"/>
      <c r="D134" s="181"/>
      <c r="E134" s="181"/>
      <c r="F134" s="181"/>
      <c r="G134" s="181"/>
      <c r="H134" s="181"/>
      <c r="I134" s="181"/>
      <c r="J134" s="181"/>
      <c r="K134" s="182"/>
      <c r="L134" s="182"/>
    </row>
    <row r="135" spans="1:12" ht="15.75" customHeight="1">
      <c r="A135" s="180"/>
      <c r="B135" s="181"/>
      <c r="C135" s="181"/>
      <c r="D135" s="181"/>
      <c r="E135" s="181"/>
      <c r="F135" s="181"/>
      <c r="G135" s="181"/>
      <c r="H135" s="181"/>
      <c r="I135" s="181"/>
      <c r="J135" s="181"/>
      <c r="K135" s="182"/>
      <c r="L135" s="182"/>
    </row>
    <row r="136" spans="1:12" ht="15.75" customHeight="1">
      <c r="A136" s="180"/>
      <c r="B136" s="181"/>
      <c r="C136" s="181"/>
      <c r="D136" s="181"/>
      <c r="E136" s="181"/>
      <c r="F136" s="181"/>
      <c r="G136" s="181"/>
      <c r="H136" s="181"/>
      <c r="I136" s="181"/>
      <c r="J136" s="181"/>
      <c r="K136" s="182"/>
      <c r="L136" s="182"/>
    </row>
    <row r="137" spans="1:12" ht="15.75" customHeight="1">
      <c r="A137" s="180"/>
      <c r="B137" s="181"/>
      <c r="C137" s="181"/>
      <c r="D137" s="181"/>
      <c r="E137" s="181"/>
      <c r="F137" s="181"/>
      <c r="G137" s="181"/>
      <c r="H137" s="181"/>
      <c r="I137" s="181"/>
      <c r="J137" s="181"/>
      <c r="K137" s="182"/>
      <c r="L137" s="182"/>
    </row>
    <row r="138" spans="1:12" ht="15.75" customHeight="1">
      <c r="A138" s="180"/>
      <c r="B138" s="181"/>
      <c r="C138" s="181"/>
      <c r="D138" s="181"/>
      <c r="E138" s="181"/>
      <c r="F138" s="181"/>
      <c r="G138" s="181"/>
      <c r="H138" s="181"/>
      <c r="I138" s="181"/>
      <c r="J138" s="181"/>
      <c r="K138" s="182"/>
      <c r="L138" s="182"/>
    </row>
    <row r="139" spans="1:12" ht="15.75" customHeight="1">
      <c r="A139" s="180"/>
      <c r="B139" s="181"/>
      <c r="C139" s="181"/>
      <c r="D139" s="181"/>
      <c r="E139" s="181"/>
      <c r="F139" s="181"/>
      <c r="G139" s="181"/>
      <c r="H139" s="181"/>
      <c r="I139" s="181"/>
      <c r="J139" s="181"/>
      <c r="K139" s="182"/>
      <c r="L139" s="182"/>
    </row>
    <row r="140" spans="1:12" ht="15.75" customHeight="1">
      <c r="A140" s="180"/>
      <c r="B140" s="181"/>
      <c r="C140" s="181"/>
      <c r="D140" s="181"/>
      <c r="E140" s="181"/>
      <c r="F140" s="181"/>
      <c r="G140" s="181"/>
      <c r="H140" s="181"/>
      <c r="I140" s="181"/>
      <c r="J140" s="181"/>
      <c r="K140" s="182"/>
      <c r="L140" s="182"/>
    </row>
    <row r="141" spans="1:12" ht="15.75" customHeight="1">
      <c r="A141" s="180"/>
      <c r="B141" s="181"/>
      <c r="C141" s="181"/>
      <c r="D141" s="181"/>
      <c r="E141" s="181"/>
      <c r="F141" s="181"/>
      <c r="G141" s="181"/>
      <c r="H141" s="181"/>
      <c r="I141" s="181"/>
      <c r="J141" s="181"/>
      <c r="K141" s="182"/>
      <c r="L141" s="182"/>
    </row>
    <row r="142" spans="1:12" ht="15.75" customHeight="1">
      <c r="A142" s="180"/>
      <c r="B142" s="181"/>
      <c r="C142" s="181"/>
      <c r="D142" s="181"/>
      <c r="E142" s="181"/>
      <c r="F142" s="181"/>
      <c r="G142" s="181"/>
      <c r="H142" s="181"/>
      <c r="I142" s="181"/>
      <c r="J142" s="181"/>
      <c r="K142" s="182"/>
      <c r="L142" s="182"/>
    </row>
    <row r="143" spans="1:12" ht="15.75" customHeight="1">
      <c r="A143" s="180"/>
      <c r="B143" s="181"/>
      <c r="C143" s="181"/>
      <c r="D143" s="181"/>
      <c r="E143" s="181"/>
      <c r="F143" s="181"/>
      <c r="G143" s="181"/>
      <c r="H143" s="181"/>
      <c r="I143" s="181"/>
      <c r="J143" s="181"/>
      <c r="K143" s="182"/>
      <c r="L143" s="182"/>
    </row>
    <row r="144" spans="1:12" ht="15.75" customHeight="1">
      <c r="A144" s="180"/>
      <c r="B144" s="181"/>
      <c r="C144" s="181"/>
      <c r="D144" s="181"/>
      <c r="E144" s="181"/>
      <c r="F144" s="181"/>
      <c r="G144" s="181"/>
      <c r="H144" s="181"/>
      <c r="I144" s="181"/>
      <c r="J144" s="181"/>
      <c r="K144" s="182"/>
      <c r="L144" s="182"/>
    </row>
    <row r="145" spans="1:12" ht="15.75" customHeight="1">
      <c r="A145" s="180"/>
      <c r="B145" s="181"/>
      <c r="C145" s="181"/>
      <c r="D145" s="181"/>
      <c r="E145" s="181"/>
      <c r="F145" s="181"/>
      <c r="G145" s="181"/>
      <c r="H145" s="181"/>
      <c r="I145" s="181"/>
      <c r="J145" s="181"/>
      <c r="K145" s="182"/>
      <c r="L145" s="182"/>
    </row>
    <row r="146" spans="1:12" ht="15.75" customHeight="1">
      <c r="A146" s="180"/>
      <c r="B146" s="181"/>
      <c r="C146" s="181"/>
      <c r="D146" s="181"/>
      <c r="E146" s="181"/>
      <c r="F146" s="181"/>
      <c r="G146" s="181"/>
      <c r="H146" s="181"/>
      <c r="I146" s="181"/>
      <c r="J146" s="181"/>
      <c r="K146" s="182"/>
      <c r="L146" s="182"/>
    </row>
    <row r="147" spans="1:12" ht="15.75" customHeight="1">
      <c r="A147" s="180"/>
      <c r="B147" s="181"/>
      <c r="C147" s="181"/>
      <c r="D147" s="181"/>
      <c r="E147" s="181"/>
      <c r="F147" s="181"/>
      <c r="G147" s="181"/>
      <c r="H147" s="181"/>
      <c r="I147" s="181"/>
      <c r="J147" s="181"/>
      <c r="K147" s="182"/>
      <c r="L147" s="182"/>
    </row>
    <row r="148" spans="1:12" ht="15.75" customHeight="1">
      <c r="A148" s="180"/>
      <c r="B148" s="181"/>
      <c r="C148" s="181"/>
      <c r="D148" s="181"/>
      <c r="E148" s="181"/>
      <c r="F148" s="181"/>
      <c r="G148" s="181"/>
      <c r="H148" s="181"/>
      <c r="I148" s="181"/>
      <c r="J148" s="181"/>
      <c r="K148" s="182"/>
      <c r="L148" s="182"/>
    </row>
    <row r="149" spans="1:12" ht="15.75" customHeight="1">
      <c r="A149" s="180"/>
      <c r="B149" s="181"/>
      <c r="C149" s="181"/>
      <c r="D149" s="181"/>
      <c r="E149" s="181"/>
      <c r="F149" s="181"/>
      <c r="G149" s="181"/>
      <c r="H149" s="181"/>
      <c r="I149" s="181"/>
      <c r="J149" s="181"/>
      <c r="K149" s="182"/>
      <c r="L149" s="182"/>
    </row>
    <row r="150" spans="1:12" ht="15.75" customHeight="1">
      <c r="A150" s="180"/>
      <c r="B150" s="181"/>
      <c r="C150" s="181"/>
      <c r="D150" s="181"/>
      <c r="E150" s="181"/>
      <c r="F150" s="181"/>
      <c r="G150" s="181"/>
      <c r="H150" s="181"/>
      <c r="I150" s="181"/>
      <c r="J150" s="181"/>
      <c r="K150" s="182"/>
      <c r="L150" s="182"/>
    </row>
    <row r="151" spans="1:12" ht="15.75" customHeight="1">
      <c r="A151" s="180"/>
      <c r="B151" s="181"/>
      <c r="C151" s="181"/>
      <c r="D151" s="181"/>
      <c r="E151" s="181"/>
      <c r="F151" s="181"/>
      <c r="G151" s="181"/>
      <c r="H151" s="181"/>
      <c r="I151" s="181"/>
      <c r="J151" s="181"/>
      <c r="K151" s="182"/>
      <c r="L151" s="182"/>
    </row>
    <row r="152" spans="1:12" ht="15.75" customHeight="1">
      <c r="A152" s="180"/>
      <c r="B152" s="181"/>
      <c r="C152" s="181"/>
      <c r="D152" s="181"/>
      <c r="E152" s="181"/>
      <c r="F152" s="181"/>
      <c r="G152" s="181"/>
      <c r="H152" s="181"/>
      <c r="I152" s="181"/>
      <c r="J152" s="181"/>
      <c r="K152" s="182"/>
      <c r="L152" s="182"/>
    </row>
    <row r="153" spans="1:12" ht="15.75" customHeight="1">
      <c r="A153" s="180"/>
      <c r="B153" s="181"/>
      <c r="C153" s="181"/>
      <c r="D153" s="181"/>
      <c r="E153" s="181"/>
      <c r="F153" s="181"/>
      <c r="G153" s="181"/>
      <c r="H153" s="181"/>
      <c r="I153" s="181"/>
      <c r="J153" s="181"/>
      <c r="K153" s="182"/>
      <c r="L153" s="182"/>
    </row>
    <row r="154" spans="1:12" ht="15.75" customHeight="1">
      <c r="A154" s="180"/>
      <c r="B154" s="181"/>
      <c r="C154" s="181"/>
      <c r="D154" s="181"/>
      <c r="E154" s="181"/>
      <c r="F154" s="181"/>
      <c r="G154" s="181"/>
      <c r="H154" s="181"/>
      <c r="I154" s="181"/>
      <c r="J154" s="181"/>
      <c r="K154" s="182"/>
      <c r="L154" s="182"/>
    </row>
    <row r="155" spans="1:12" ht="15.75" customHeight="1">
      <c r="A155" s="180"/>
      <c r="B155" s="181"/>
      <c r="C155" s="181"/>
      <c r="D155" s="181"/>
      <c r="E155" s="181"/>
      <c r="F155" s="181"/>
      <c r="G155" s="181"/>
      <c r="H155" s="181"/>
      <c r="I155" s="181"/>
      <c r="J155" s="181"/>
      <c r="K155" s="182"/>
      <c r="L155" s="182"/>
    </row>
    <row r="156" spans="1:12" ht="15.75" customHeight="1">
      <c r="A156" s="180"/>
      <c r="B156" s="181"/>
      <c r="C156" s="181"/>
      <c r="D156" s="181"/>
      <c r="E156" s="181"/>
      <c r="F156" s="181"/>
      <c r="G156" s="181"/>
      <c r="H156" s="181"/>
      <c r="I156" s="181"/>
      <c r="J156" s="181"/>
      <c r="K156" s="182"/>
      <c r="L156" s="182"/>
    </row>
    <row r="157" spans="1:12" ht="15.75" customHeight="1">
      <c r="A157" s="180"/>
      <c r="B157" s="181"/>
      <c r="C157" s="181"/>
      <c r="D157" s="181"/>
      <c r="E157" s="181"/>
      <c r="F157" s="181"/>
      <c r="G157" s="181"/>
      <c r="H157" s="181"/>
      <c r="I157" s="181"/>
      <c r="J157" s="181"/>
      <c r="K157" s="182"/>
      <c r="L157" s="182"/>
    </row>
    <row r="158" spans="1:12" ht="15.75" customHeight="1">
      <c r="A158" s="180"/>
      <c r="B158" s="181"/>
      <c r="C158" s="181"/>
      <c r="D158" s="181"/>
      <c r="E158" s="181"/>
      <c r="F158" s="181"/>
      <c r="G158" s="181"/>
      <c r="H158" s="181"/>
      <c r="I158" s="181"/>
      <c r="J158" s="181"/>
      <c r="K158" s="182"/>
      <c r="L158" s="182"/>
    </row>
    <row r="159" spans="1:12" ht="15.75" customHeight="1">
      <c r="A159" s="180"/>
      <c r="B159" s="181"/>
      <c r="C159" s="181"/>
      <c r="D159" s="181"/>
      <c r="E159" s="181"/>
      <c r="F159" s="181"/>
      <c r="G159" s="181"/>
      <c r="H159" s="181"/>
      <c r="I159" s="181"/>
      <c r="J159" s="181"/>
      <c r="K159" s="182"/>
      <c r="L159" s="182"/>
    </row>
    <row r="160" spans="1:12" ht="15.75" customHeight="1">
      <c r="A160" s="180"/>
      <c r="B160" s="181"/>
      <c r="C160" s="181"/>
      <c r="D160" s="181"/>
      <c r="E160" s="181"/>
      <c r="F160" s="181"/>
      <c r="G160" s="181"/>
      <c r="H160" s="181"/>
      <c r="I160" s="181"/>
      <c r="J160" s="181"/>
      <c r="K160" s="182"/>
      <c r="L160" s="182"/>
    </row>
    <row r="161" spans="1:12" ht="15.75" customHeight="1">
      <c r="A161" s="180"/>
      <c r="B161" s="181"/>
      <c r="C161" s="181"/>
      <c r="D161" s="181"/>
      <c r="E161" s="181"/>
      <c r="F161" s="181"/>
      <c r="G161" s="181"/>
      <c r="H161" s="181"/>
      <c r="I161" s="181"/>
      <c r="J161" s="181"/>
      <c r="K161" s="182"/>
      <c r="L161" s="182"/>
    </row>
    <row r="162" spans="1:12" ht="15.75" customHeight="1">
      <c r="A162" s="180"/>
      <c r="B162" s="181"/>
      <c r="C162" s="181"/>
      <c r="D162" s="181"/>
      <c r="E162" s="181"/>
      <c r="F162" s="181"/>
      <c r="G162" s="181"/>
      <c r="H162" s="181"/>
      <c r="I162" s="181"/>
      <c r="J162" s="181"/>
      <c r="K162" s="182"/>
      <c r="L162" s="182"/>
    </row>
    <row r="163" spans="1:12" ht="15.75" customHeight="1">
      <c r="A163" s="180"/>
      <c r="B163" s="181"/>
      <c r="C163" s="181"/>
      <c r="D163" s="181"/>
      <c r="E163" s="181"/>
      <c r="F163" s="181"/>
      <c r="G163" s="181"/>
      <c r="H163" s="181"/>
      <c r="I163" s="181"/>
      <c r="J163" s="181"/>
      <c r="K163" s="182"/>
      <c r="L163" s="182"/>
    </row>
    <row r="164" spans="1:12" ht="15.75" customHeight="1">
      <c r="A164" s="180"/>
      <c r="B164" s="181"/>
      <c r="C164" s="181"/>
      <c r="D164" s="181"/>
      <c r="E164" s="181"/>
      <c r="F164" s="181"/>
      <c r="G164" s="181"/>
      <c r="H164" s="181"/>
      <c r="I164" s="181"/>
      <c r="J164" s="181"/>
      <c r="K164" s="182"/>
      <c r="L164" s="182"/>
    </row>
    <row r="165" spans="1:12" ht="15.75" customHeight="1">
      <c r="A165" s="180"/>
      <c r="B165" s="181"/>
      <c r="C165" s="181"/>
      <c r="D165" s="181"/>
      <c r="E165" s="181"/>
      <c r="F165" s="181"/>
      <c r="G165" s="181"/>
      <c r="H165" s="181"/>
      <c r="I165" s="181"/>
      <c r="J165" s="181"/>
      <c r="K165" s="182"/>
      <c r="L165" s="182"/>
    </row>
    <row r="166" spans="1:12" ht="15.75" customHeight="1">
      <c r="A166" s="180"/>
      <c r="B166" s="181"/>
      <c r="C166" s="181"/>
      <c r="D166" s="181"/>
      <c r="E166" s="181"/>
      <c r="F166" s="181"/>
      <c r="G166" s="181"/>
      <c r="H166" s="181"/>
      <c r="I166" s="181"/>
      <c r="J166" s="181"/>
      <c r="K166" s="182"/>
      <c r="L166" s="182"/>
    </row>
    <row r="167" spans="1:12" ht="15.75" customHeight="1">
      <c r="A167" s="180"/>
      <c r="B167" s="181"/>
      <c r="C167" s="181"/>
      <c r="D167" s="181"/>
      <c r="E167" s="181"/>
      <c r="F167" s="181"/>
      <c r="G167" s="181"/>
      <c r="H167" s="181"/>
      <c r="I167" s="181"/>
      <c r="J167" s="181"/>
      <c r="K167" s="182"/>
      <c r="L167" s="182"/>
    </row>
    <row r="168" spans="1:12" ht="15.75" customHeight="1">
      <c r="A168" s="180"/>
      <c r="B168" s="181"/>
      <c r="C168" s="181"/>
      <c r="D168" s="181"/>
      <c r="E168" s="181"/>
      <c r="F168" s="181"/>
      <c r="G168" s="181"/>
      <c r="H168" s="181"/>
      <c r="I168" s="181"/>
      <c r="J168" s="181"/>
      <c r="K168" s="182"/>
      <c r="L168" s="182"/>
    </row>
    <row r="169" spans="1:12" ht="15.75" customHeight="1">
      <c r="A169" s="180"/>
      <c r="B169" s="181"/>
      <c r="C169" s="181"/>
      <c r="D169" s="181"/>
      <c r="E169" s="181"/>
      <c r="F169" s="181"/>
      <c r="G169" s="181"/>
      <c r="H169" s="181"/>
      <c r="I169" s="181"/>
      <c r="J169" s="181"/>
      <c r="K169" s="182"/>
      <c r="L169" s="182"/>
    </row>
    <row r="170" spans="1:12" ht="15.75" customHeight="1">
      <c r="A170" s="180"/>
      <c r="B170" s="181"/>
      <c r="C170" s="181"/>
      <c r="D170" s="181"/>
      <c r="E170" s="181"/>
      <c r="F170" s="181"/>
      <c r="G170" s="181"/>
      <c r="H170" s="181"/>
      <c r="I170" s="181"/>
      <c r="J170" s="181"/>
      <c r="K170" s="182"/>
      <c r="L170" s="182"/>
    </row>
    <row r="171" spans="1:12" ht="15.75" customHeight="1">
      <c r="A171" s="180"/>
      <c r="B171" s="181"/>
      <c r="C171" s="181"/>
      <c r="D171" s="181"/>
      <c r="E171" s="181"/>
      <c r="F171" s="181"/>
      <c r="G171" s="181"/>
      <c r="H171" s="181"/>
      <c r="I171" s="181"/>
      <c r="J171" s="181"/>
      <c r="K171" s="182"/>
      <c r="L171" s="182"/>
    </row>
    <row r="172" spans="1:12" ht="15.75" customHeight="1">
      <c r="A172" s="180"/>
      <c r="B172" s="181"/>
      <c r="C172" s="181"/>
      <c r="D172" s="181"/>
      <c r="E172" s="181"/>
      <c r="F172" s="181"/>
      <c r="G172" s="181"/>
      <c r="H172" s="181"/>
      <c r="I172" s="181"/>
      <c r="J172" s="181"/>
      <c r="K172" s="182"/>
      <c r="L172" s="182"/>
    </row>
    <row r="173" spans="1:12" ht="15.75" customHeight="1">
      <c r="A173" s="180"/>
      <c r="B173" s="181"/>
      <c r="C173" s="181"/>
      <c r="D173" s="181"/>
      <c r="E173" s="181"/>
      <c r="F173" s="181"/>
      <c r="G173" s="181"/>
      <c r="H173" s="181"/>
      <c r="I173" s="181"/>
      <c r="J173" s="181"/>
      <c r="K173" s="182"/>
      <c r="L173" s="182"/>
    </row>
    <row r="174" spans="1:12" ht="15.75" customHeight="1">
      <c r="A174" s="180"/>
      <c r="B174" s="181"/>
      <c r="C174" s="181"/>
      <c r="D174" s="181"/>
      <c r="E174" s="181"/>
      <c r="F174" s="181"/>
      <c r="G174" s="181"/>
      <c r="H174" s="181"/>
      <c r="I174" s="181"/>
      <c r="J174" s="181"/>
      <c r="K174" s="182"/>
      <c r="L174" s="182"/>
    </row>
    <row r="175" spans="1:12" ht="15.75" customHeight="1">
      <c r="A175" s="180"/>
      <c r="B175" s="181"/>
      <c r="C175" s="181"/>
      <c r="D175" s="181"/>
      <c r="E175" s="181"/>
      <c r="F175" s="181"/>
      <c r="G175" s="181"/>
      <c r="H175" s="181"/>
      <c r="I175" s="181"/>
      <c r="J175" s="181"/>
      <c r="K175" s="182"/>
      <c r="L175" s="182"/>
    </row>
    <row r="176" spans="1:12" ht="15.75" customHeight="1">
      <c r="A176" s="180"/>
      <c r="B176" s="181"/>
      <c r="C176" s="181"/>
      <c r="D176" s="181"/>
      <c r="E176" s="181"/>
      <c r="F176" s="181"/>
      <c r="G176" s="181"/>
      <c r="H176" s="181"/>
      <c r="I176" s="181"/>
      <c r="J176" s="181"/>
      <c r="K176" s="182"/>
      <c r="L176" s="182"/>
    </row>
    <row r="177" spans="1:12" ht="15.75" customHeight="1">
      <c r="A177" s="180"/>
      <c r="B177" s="181"/>
      <c r="C177" s="181"/>
      <c r="D177" s="181"/>
      <c r="E177" s="181"/>
      <c r="F177" s="181"/>
      <c r="G177" s="181"/>
      <c r="H177" s="181"/>
      <c r="I177" s="181"/>
      <c r="J177" s="181"/>
      <c r="K177" s="182"/>
      <c r="L177" s="182"/>
    </row>
    <row r="178" spans="1:12" ht="15.75" customHeight="1">
      <c r="A178" s="180"/>
      <c r="B178" s="181"/>
      <c r="C178" s="181"/>
      <c r="D178" s="181"/>
      <c r="E178" s="181"/>
      <c r="F178" s="181"/>
      <c r="G178" s="181"/>
      <c r="H178" s="181"/>
      <c r="I178" s="181"/>
      <c r="J178" s="181"/>
      <c r="K178" s="182"/>
      <c r="L178" s="182"/>
    </row>
    <row r="179" spans="1:12" ht="15.75" customHeight="1">
      <c r="A179" s="180"/>
      <c r="B179" s="181"/>
      <c r="C179" s="181"/>
      <c r="D179" s="181"/>
      <c r="E179" s="181"/>
      <c r="F179" s="181"/>
      <c r="G179" s="181"/>
      <c r="H179" s="181"/>
      <c r="I179" s="181"/>
      <c r="J179" s="181"/>
      <c r="K179" s="182"/>
      <c r="L179" s="182"/>
    </row>
    <row r="180" spans="1:12" ht="15.75" customHeight="1">
      <c r="A180" s="180"/>
      <c r="B180" s="181"/>
      <c r="C180" s="181"/>
      <c r="D180" s="181"/>
      <c r="E180" s="181"/>
      <c r="F180" s="181"/>
      <c r="G180" s="181"/>
      <c r="H180" s="181"/>
      <c r="I180" s="181"/>
      <c r="J180" s="181"/>
      <c r="K180" s="182"/>
      <c r="L180" s="182"/>
    </row>
    <row r="181" spans="1:12" ht="15.75" customHeight="1">
      <c r="A181" s="180"/>
      <c r="B181" s="181"/>
      <c r="C181" s="181"/>
      <c r="D181" s="181"/>
      <c r="E181" s="181"/>
      <c r="F181" s="181"/>
      <c r="G181" s="181"/>
      <c r="H181" s="181"/>
      <c r="I181" s="181"/>
      <c r="J181" s="181"/>
      <c r="K181" s="182"/>
      <c r="L181" s="182"/>
    </row>
    <row r="182" spans="1:12" ht="15.75" customHeight="1">
      <c r="A182" s="180"/>
      <c r="B182" s="181"/>
      <c r="C182" s="181"/>
      <c r="D182" s="181"/>
      <c r="E182" s="181"/>
      <c r="F182" s="181"/>
      <c r="G182" s="181"/>
      <c r="H182" s="181"/>
      <c r="I182" s="181"/>
      <c r="J182" s="181"/>
      <c r="K182" s="182"/>
      <c r="L182" s="182"/>
    </row>
    <row r="183" spans="1:12" ht="15.75" customHeight="1">
      <c r="A183" s="180"/>
      <c r="B183" s="181"/>
      <c r="C183" s="181"/>
      <c r="D183" s="181"/>
      <c r="E183" s="181"/>
      <c r="F183" s="181"/>
      <c r="G183" s="181"/>
      <c r="H183" s="181"/>
      <c r="I183" s="181"/>
      <c r="J183" s="181"/>
      <c r="K183" s="182"/>
      <c r="L183" s="182"/>
    </row>
    <row r="184" spans="1:12" ht="15.75" customHeight="1">
      <c r="A184" s="180"/>
      <c r="B184" s="181"/>
      <c r="C184" s="181"/>
      <c r="D184" s="181"/>
      <c r="E184" s="181"/>
      <c r="F184" s="181"/>
      <c r="G184" s="181"/>
      <c r="H184" s="181"/>
      <c r="I184" s="181"/>
      <c r="J184" s="181"/>
      <c r="K184" s="182"/>
      <c r="L184" s="182"/>
    </row>
    <row r="185" spans="1:12" ht="15.75" customHeight="1">
      <c r="A185" s="180"/>
      <c r="B185" s="181"/>
      <c r="C185" s="181"/>
      <c r="D185" s="181"/>
      <c r="E185" s="181"/>
      <c r="F185" s="181"/>
      <c r="G185" s="181"/>
      <c r="H185" s="181"/>
      <c r="I185" s="181"/>
      <c r="J185" s="181"/>
      <c r="K185" s="182"/>
      <c r="L185" s="182"/>
    </row>
    <row r="186" spans="1:12" ht="15.75" customHeight="1">
      <c r="A186" s="180"/>
      <c r="B186" s="181"/>
      <c r="C186" s="181"/>
      <c r="D186" s="181"/>
      <c r="E186" s="181"/>
      <c r="F186" s="181"/>
      <c r="G186" s="181"/>
      <c r="H186" s="181"/>
      <c r="I186" s="181"/>
      <c r="J186" s="181"/>
      <c r="K186" s="182"/>
      <c r="L186" s="182"/>
    </row>
    <row r="187" spans="1:12" ht="15.75" customHeight="1">
      <c r="A187" s="180"/>
      <c r="B187" s="181"/>
      <c r="C187" s="181"/>
      <c r="D187" s="181"/>
      <c r="E187" s="181"/>
      <c r="F187" s="181"/>
      <c r="G187" s="181"/>
      <c r="H187" s="181"/>
      <c r="I187" s="181"/>
      <c r="J187" s="181"/>
      <c r="K187" s="182"/>
      <c r="L187" s="182"/>
    </row>
    <row r="188" spans="1:12" ht="15.75" customHeight="1">
      <c r="A188" s="180"/>
      <c r="B188" s="181"/>
      <c r="C188" s="181"/>
      <c r="D188" s="181"/>
      <c r="E188" s="181"/>
      <c r="F188" s="181"/>
      <c r="G188" s="181"/>
      <c r="H188" s="181"/>
      <c r="I188" s="181"/>
      <c r="J188" s="181"/>
      <c r="K188" s="182"/>
      <c r="L188" s="182"/>
    </row>
    <row r="189" spans="1:12" ht="15.75" customHeight="1">
      <c r="A189" s="180"/>
      <c r="B189" s="181"/>
      <c r="C189" s="181"/>
      <c r="D189" s="181"/>
      <c r="E189" s="181"/>
      <c r="F189" s="181"/>
      <c r="G189" s="181"/>
      <c r="H189" s="181"/>
      <c r="I189" s="181"/>
      <c r="J189" s="181"/>
      <c r="K189" s="182"/>
      <c r="L189" s="182"/>
    </row>
    <row r="190" spans="1:12" ht="15.75" customHeight="1">
      <c r="A190" s="180"/>
      <c r="B190" s="181"/>
      <c r="C190" s="181"/>
      <c r="D190" s="181"/>
      <c r="E190" s="181"/>
      <c r="F190" s="181"/>
      <c r="G190" s="181"/>
      <c r="H190" s="181"/>
      <c r="I190" s="181"/>
      <c r="J190" s="181"/>
      <c r="K190" s="182"/>
      <c r="L190" s="182"/>
    </row>
    <row r="191" spans="1:12" ht="15.75" customHeight="1">
      <c r="A191" s="180"/>
      <c r="B191" s="181"/>
      <c r="C191" s="181"/>
      <c r="D191" s="181"/>
      <c r="E191" s="181"/>
      <c r="F191" s="181"/>
      <c r="G191" s="181"/>
      <c r="H191" s="181"/>
      <c r="I191" s="181"/>
      <c r="J191" s="181"/>
      <c r="K191" s="182"/>
      <c r="L191" s="182"/>
    </row>
    <row r="192" spans="1:12" ht="15.75" customHeight="1">
      <c r="A192" s="180"/>
      <c r="B192" s="181"/>
      <c r="C192" s="181"/>
      <c r="D192" s="181"/>
      <c r="E192" s="181"/>
      <c r="F192" s="181"/>
      <c r="G192" s="181"/>
      <c r="H192" s="181"/>
      <c r="I192" s="181"/>
      <c r="J192" s="181"/>
      <c r="K192" s="182"/>
      <c r="L192" s="182"/>
    </row>
    <row r="193" spans="1:12" ht="15.75" customHeight="1">
      <c r="A193" s="180"/>
      <c r="B193" s="181"/>
      <c r="C193" s="181"/>
      <c r="D193" s="181"/>
      <c r="E193" s="181"/>
      <c r="F193" s="181"/>
      <c r="G193" s="181"/>
      <c r="H193" s="181"/>
      <c r="I193" s="181"/>
      <c r="J193" s="181"/>
      <c r="K193" s="182"/>
      <c r="L193" s="182"/>
    </row>
    <row r="194" spans="1:12" ht="15.75" customHeight="1">
      <c r="A194" s="180"/>
      <c r="B194" s="181"/>
      <c r="C194" s="181"/>
      <c r="D194" s="181"/>
      <c r="E194" s="181"/>
      <c r="F194" s="181"/>
      <c r="G194" s="181"/>
      <c r="H194" s="181"/>
      <c r="I194" s="181"/>
      <c r="J194" s="181"/>
      <c r="K194" s="182"/>
      <c r="L194" s="182"/>
    </row>
    <row r="195" spans="1:12" ht="15.75" customHeight="1">
      <c r="A195" s="180"/>
      <c r="B195" s="181"/>
      <c r="C195" s="181"/>
      <c r="D195" s="181"/>
      <c r="E195" s="181"/>
      <c r="F195" s="181"/>
      <c r="G195" s="181"/>
      <c r="H195" s="181"/>
      <c r="I195" s="181"/>
      <c r="J195" s="181"/>
      <c r="K195" s="182"/>
      <c r="L195" s="182"/>
    </row>
    <row r="196" spans="1:12" ht="15.75" customHeight="1">
      <c r="A196" s="180"/>
      <c r="B196" s="181"/>
      <c r="C196" s="181"/>
      <c r="D196" s="181"/>
      <c r="E196" s="181"/>
      <c r="F196" s="181"/>
      <c r="G196" s="181"/>
      <c r="H196" s="181"/>
      <c r="I196" s="181"/>
      <c r="J196" s="181"/>
      <c r="K196" s="182"/>
      <c r="L196" s="182"/>
    </row>
    <row r="197" spans="1:12" ht="15.75" customHeight="1">
      <c r="A197" s="180"/>
      <c r="B197" s="181"/>
      <c r="C197" s="181"/>
      <c r="D197" s="181"/>
      <c r="E197" s="181"/>
      <c r="F197" s="181"/>
      <c r="G197" s="181"/>
      <c r="H197" s="181"/>
      <c r="I197" s="181"/>
      <c r="J197" s="181"/>
      <c r="K197" s="182"/>
      <c r="L197" s="182"/>
    </row>
    <row r="198" spans="1:12" ht="15.75" customHeight="1">
      <c r="A198" s="180"/>
      <c r="B198" s="181"/>
      <c r="C198" s="181"/>
      <c r="D198" s="181"/>
      <c r="E198" s="181"/>
      <c r="F198" s="181"/>
      <c r="G198" s="181"/>
      <c r="H198" s="181"/>
      <c r="I198" s="181"/>
      <c r="J198" s="181"/>
      <c r="K198" s="182"/>
      <c r="L198" s="182"/>
    </row>
    <row r="199" spans="1:12" ht="15.75" customHeight="1">
      <c r="A199" s="180"/>
      <c r="B199" s="181"/>
      <c r="C199" s="181"/>
      <c r="D199" s="181"/>
      <c r="E199" s="181"/>
      <c r="F199" s="181"/>
      <c r="G199" s="181"/>
      <c r="H199" s="181"/>
      <c r="I199" s="181"/>
      <c r="J199" s="181"/>
      <c r="K199" s="182"/>
      <c r="L199" s="182"/>
    </row>
    <row r="200" spans="1:12" ht="15.75" customHeight="1">
      <c r="A200" s="180"/>
      <c r="B200" s="181"/>
      <c r="C200" s="181"/>
      <c r="D200" s="181"/>
      <c r="E200" s="181"/>
      <c r="F200" s="181"/>
      <c r="G200" s="181"/>
      <c r="H200" s="181"/>
      <c r="I200" s="181"/>
      <c r="J200" s="181"/>
      <c r="K200" s="182"/>
      <c r="L200" s="182"/>
    </row>
    <row r="201" spans="1:12" ht="15.75" customHeight="1">
      <c r="A201" s="180"/>
      <c r="B201" s="181"/>
      <c r="C201" s="181"/>
      <c r="D201" s="181"/>
      <c r="E201" s="181"/>
      <c r="F201" s="181"/>
      <c r="G201" s="181"/>
      <c r="H201" s="181"/>
      <c r="I201" s="181"/>
      <c r="J201" s="181"/>
      <c r="K201" s="182"/>
      <c r="L201" s="182"/>
    </row>
    <row r="202" spans="1:12" ht="15.75" customHeight="1">
      <c r="A202" s="180"/>
      <c r="B202" s="181"/>
      <c r="C202" s="181"/>
      <c r="D202" s="181"/>
      <c r="E202" s="181"/>
      <c r="F202" s="181"/>
      <c r="G202" s="181"/>
      <c r="H202" s="181"/>
      <c r="I202" s="181"/>
      <c r="J202" s="181"/>
      <c r="K202" s="182"/>
      <c r="L202" s="182"/>
    </row>
    <row r="203" spans="1:12" ht="15.75" customHeight="1">
      <c r="A203" s="180"/>
      <c r="B203" s="181"/>
      <c r="C203" s="181"/>
      <c r="D203" s="181"/>
      <c r="E203" s="181"/>
      <c r="F203" s="181"/>
      <c r="G203" s="181"/>
      <c r="H203" s="181"/>
      <c r="I203" s="181"/>
      <c r="J203" s="181"/>
      <c r="K203" s="182"/>
      <c r="L203" s="182"/>
    </row>
    <row r="204" spans="1:12" ht="15.75" customHeight="1">
      <c r="A204" s="180"/>
      <c r="B204" s="181"/>
      <c r="C204" s="181"/>
      <c r="D204" s="181"/>
      <c r="E204" s="181"/>
      <c r="F204" s="181"/>
      <c r="G204" s="181"/>
      <c r="H204" s="181"/>
      <c r="I204" s="181"/>
      <c r="J204" s="181"/>
      <c r="K204" s="182"/>
      <c r="L204" s="182"/>
    </row>
    <row r="205" spans="1:12" ht="15.75" customHeight="1">
      <c r="A205" s="180"/>
      <c r="B205" s="181"/>
      <c r="C205" s="181"/>
      <c r="D205" s="181"/>
      <c r="E205" s="181"/>
      <c r="F205" s="181"/>
      <c r="G205" s="181"/>
      <c r="H205" s="181"/>
      <c r="I205" s="181"/>
      <c r="J205" s="181"/>
      <c r="K205" s="182"/>
      <c r="L205" s="182"/>
    </row>
    <row r="206" spans="1:12" ht="15.75" customHeight="1">
      <c r="A206" s="180"/>
      <c r="B206" s="181"/>
      <c r="C206" s="181"/>
      <c r="D206" s="181"/>
      <c r="E206" s="181"/>
      <c r="F206" s="181"/>
      <c r="G206" s="181"/>
      <c r="H206" s="181"/>
      <c r="I206" s="181"/>
      <c r="J206" s="181"/>
      <c r="K206" s="182"/>
      <c r="L206" s="182"/>
    </row>
    <row r="207" spans="1:12" ht="15.75" customHeight="1">
      <c r="A207" s="180"/>
      <c r="B207" s="181"/>
      <c r="C207" s="181"/>
      <c r="D207" s="181"/>
      <c r="E207" s="181"/>
      <c r="F207" s="181"/>
      <c r="G207" s="181"/>
      <c r="H207" s="181"/>
      <c r="I207" s="181"/>
      <c r="J207" s="181"/>
      <c r="K207" s="182"/>
      <c r="L207" s="182"/>
    </row>
    <row r="208" spans="1:12" ht="15.75" customHeight="1">
      <c r="A208" s="180"/>
      <c r="B208" s="181"/>
      <c r="C208" s="181"/>
      <c r="D208" s="181"/>
      <c r="E208" s="181"/>
      <c r="F208" s="181"/>
      <c r="G208" s="181"/>
      <c r="H208" s="181"/>
      <c r="I208" s="181"/>
      <c r="J208" s="181"/>
      <c r="K208" s="182"/>
      <c r="L208" s="182"/>
    </row>
    <row r="209" spans="1:12" ht="15.75" customHeight="1">
      <c r="A209" s="180"/>
      <c r="B209" s="181"/>
      <c r="C209" s="181"/>
      <c r="D209" s="181"/>
      <c r="E209" s="181"/>
      <c r="F209" s="181"/>
      <c r="G209" s="181"/>
      <c r="H209" s="181"/>
      <c r="I209" s="181"/>
      <c r="J209" s="181"/>
      <c r="K209" s="182"/>
      <c r="L209" s="182"/>
    </row>
    <row r="210" spans="1:12" ht="15.75" customHeight="1">
      <c r="A210" s="180"/>
      <c r="B210" s="181"/>
      <c r="C210" s="181"/>
      <c r="D210" s="181"/>
      <c r="E210" s="181"/>
      <c r="F210" s="181"/>
      <c r="G210" s="181"/>
      <c r="H210" s="181"/>
      <c r="I210" s="181"/>
      <c r="J210" s="181"/>
      <c r="K210" s="182"/>
      <c r="L210" s="182"/>
    </row>
    <row r="211" spans="1:12" ht="15.75" customHeight="1">
      <c r="A211" s="180"/>
      <c r="B211" s="181"/>
      <c r="C211" s="181"/>
      <c r="D211" s="181"/>
      <c r="E211" s="181"/>
      <c r="F211" s="181"/>
      <c r="G211" s="181"/>
      <c r="H211" s="181"/>
      <c r="I211" s="181"/>
      <c r="J211" s="181"/>
      <c r="K211" s="182"/>
      <c r="L211" s="182"/>
    </row>
    <row r="212" spans="1:12" ht="15.75" customHeight="1">
      <c r="A212" s="180"/>
      <c r="B212" s="181"/>
      <c r="C212" s="181"/>
      <c r="D212" s="181"/>
      <c r="E212" s="181"/>
      <c r="F212" s="181"/>
      <c r="G212" s="181"/>
      <c r="H212" s="181"/>
      <c r="I212" s="181"/>
      <c r="J212" s="181"/>
      <c r="K212" s="182"/>
      <c r="L212" s="182"/>
    </row>
    <row r="213" spans="1:12" ht="15.75" customHeight="1">
      <c r="A213" s="180"/>
      <c r="B213" s="181"/>
      <c r="C213" s="181"/>
      <c r="D213" s="181"/>
      <c r="E213" s="181"/>
      <c r="F213" s="181"/>
      <c r="G213" s="181"/>
      <c r="H213" s="181"/>
      <c r="I213" s="181"/>
      <c r="J213" s="181"/>
      <c r="K213" s="182"/>
      <c r="L213" s="182"/>
    </row>
    <row r="214" spans="1:12" ht="15.75" customHeight="1">
      <c r="A214" s="180"/>
      <c r="B214" s="181"/>
      <c r="C214" s="181"/>
      <c r="D214" s="181"/>
      <c r="E214" s="181"/>
      <c r="F214" s="181"/>
      <c r="G214" s="181"/>
      <c r="H214" s="181"/>
      <c r="I214" s="181"/>
      <c r="J214" s="181"/>
      <c r="K214" s="182"/>
      <c r="L214" s="182"/>
    </row>
    <row r="215" spans="1:12" ht="15.75" customHeight="1">
      <c r="A215" s="180"/>
      <c r="B215" s="181"/>
      <c r="C215" s="181"/>
      <c r="D215" s="181"/>
      <c r="E215" s="181"/>
      <c r="F215" s="181"/>
      <c r="G215" s="181"/>
      <c r="H215" s="181"/>
      <c r="I215" s="181"/>
      <c r="J215" s="181"/>
      <c r="K215" s="182"/>
      <c r="L215" s="182"/>
    </row>
    <row r="216" spans="1:12" ht="15.75" customHeight="1">
      <c r="A216" s="180"/>
      <c r="B216" s="181"/>
      <c r="C216" s="181"/>
      <c r="D216" s="181"/>
      <c r="E216" s="181"/>
      <c r="F216" s="181"/>
      <c r="G216" s="181"/>
      <c r="H216" s="181"/>
      <c r="I216" s="181"/>
      <c r="J216" s="181"/>
      <c r="K216" s="182"/>
      <c r="L216" s="182"/>
    </row>
    <row r="217" spans="1:12" ht="15.75" customHeight="1">
      <c r="A217" s="180"/>
      <c r="B217" s="181"/>
      <c r="C217" s="181"/>
      <c r="D217" s="181"/>
      <c r="E217" s="181"/>
      <c r="F217" s="181"/>
      <c r="G217" s="181"/>
      <c r="H217" s="181"/>
      <c r="I217" s="181"/>
      <c r="J217" s="181"/>
      <c r="K217" s="182"/>
      <c r="L217" s="182"/>
    </row>
    <row r="218" spans="1:12" ht="15.75" customHeight="1">
      <c r="A218" s="180"/>
      <c r="B218" s="181"/>
      <c r="C218" s="181"/>
      <c r="D218" s="181"/>
      <c r="E218" s="181"/>
      <c r="F218" s="181"/>
      <c r="G218" s="181"/>
      <c r="H218" s="181"/>
      <c r="I218" s="181"/>
      <c r="J218" s="181"/>
      <c r="K218" s="182"/>
      <c r="L218" s="182"/>
    </row>
    <row r="219" spans="1:12" ht="15.75" customHeight="1">
      <c r="A219" s="180"/>
      <c r="B219" s="181"/>
      <c r="C219" s="181"/>
      <c r="D219" s="181"/>
      <c r="E219" s="181"/>
      <c r="F219" s="181"/>
      <c r="G219" s="181"/>
      <c r="H219" s="181"/>
      <c r="I219" s="181"/>
      <c r="J219" s="181"/>
      <c r="K219" s="182"/>
      <c r="L219" s="182"/>
    </row>
    <row r="220" spans="1:12" ht="15.75" customHeight="1">
      <c r="A220" s="180"/>
      <c r="B220" s="181"/>
      <c r="C220" s="181"/>
      <c r="D220" s="181"/>
      <c r="E220" s="181"/>
      <c r="F220" s="181"/>
      <c r="G220" s="181"/>
      <c r="H220" s="181"/>
      <c r="I220" s="181"/>
      <c r="J220" s="181"/>
      <c r="K220" s="182"/>
      <c r="L220" s="182"/>
    </row>
    <row r="221" spans="1:12" ht="15.75" customHeight="1">
      <c r="A221" s="180"/>
      <c r="B221" s="181"/>
      <c r="C221" s="181"/>
      <c r="D221" s="181"/>
      <c r="E221" s="181"/>
      <c r="F221" s="181"/>
      <c r="G221" s="181"/>
      <c r="H221" s="181"/>
      <c r="I221" s="181"/>
      <c r="J221" s="181"/>
      <c r="K221" s="182"/>
      <c r="L221" s="182"/>
    </row>
    <row r="222" spans="1:12" ht="15.75" customHeight="1">
      <c r="A222" s="180"/>
      <c r="B222" s="181"/>
      <c r="C222" s="181"/>
      <c r="D222" s="181"/>
      <c r="E222" s="181"/>
      <c r="F222" s="181"/>
      <c r="G222" s="181"/>
      <c r="H222" s="181"/>
      <c r="I222" s="181"/>
      <c r="J222" s="181"/>
      <c r="K222" s="182"/>
      <c r="L222" s="182"/>
    </row>
    <row r="223" spans="1:12" ht="15.75" customHeight="1">
      <c r="A223" s="180"/>
      <c r="B223" s="181"/>
      <c r="C223" s="181"/>
      <c r="D223" s="181"/>
      <c r="E223" s="181"/>
      <c r="F223" s="181"/>
      <c r="G223" s="181"/>
      <c r="H223" s="181"/>
      <c r="I223" s="181"/>
      <c r="J223" s="181"/>
      <c r="K223" s="182"/>
      <c r="L223" s="182"/>
    </row>
    <row r="224" spans="1:12" ht="15.75" customHeight="1">
      <c r="A224" s="180"/>
      <c r="B224" s="181"/>
      <c r="C224" s="181"/>
      <c r="D224" s="181"/>
      <c r="E224" s="181"/>
      <c r="F224" s="181"/>
      <c r="G224" s="181"/>
      <c r="H224" s="181"/>
      <c r="I224" s="181"/>
      <c r="J224" s="181"/>
      <c r="K224" s="182"/>
      <c r="L224" s="182"/>
    </row>
    <row r="225" spans="1:12" ht="15.75" customHeight="1">
      <c r="A225" s="180"/>
      <c r="B225" s="181"/>
      <c r="C225" s="181"/>
      <c r="D225" s="181"/>
      <c r="E225" s="181"/>
      <c r="F225" s="181"/>
      <c r="G225" s="181"/>
      <c r="H225" s="181"/>
      <c r="I225" s="181"/>
      <c r="J225" s="181"/>
      <c r="K225" s="182"/>
      <c r="L225" s="182"/>
    </row>
    <row r="226" spans="1:12" ht="15.75" customHeight="1">
      <c r="A226" s="180"/>
      <c r="B226" s="181"/>
      <c r="C226" s="181"/>
      <c r="D226" s="181"/>
      <c r="E226" s="181"/>
      <c r="F226" s="181"/>
      <c r="G226" s="181"/>
      <c r="H226" s="181"/>
      <c r="I226" s="181"/>
      <c r="J226" s="181"/>
      <c r="K226" s="182"/>
      <c r="L226" s="182"/>
    </row>
    <row r="227" spans="1:12" ht="15.75" customHeight="1">
      <c r="A227" s="180"/>
      <c r="B227" s="181"/>
      <c r="C227" s="181"/>
      <c r="D227" s="181"/>
      <c r="E227" s="181"/>
      <c r="F227" s="181"/>
      <c r="G227" s="181"/>
      <c r="H227" s="181"/>
      <c r="I227" s="181"/>
      <c r="J227" s="181"/>
      <c r="K227" s="182"/>
      <c r="L227" s="182"/>
    </row>
    <row r="228" spans="1:12" ht="15.75" customHeight="1">
      <c r="A228" s="180"/>
      <c r="B228" s="181"/>
      <c r="C228" s="181"/>
      <c r="D228" s="181"/>
      <c r="E228" s="181"/>
      <c r="F228" s="181"/>
      <c r="G228" s="181"/>
      <c r="H228" s="181"/>
      <c r="I228" s="181"/>
      <c r="J228" s="181"/>
      <c r="K228" s="182"/>
      <c r="L228" s="182"/>
    </row>
    <row r="229" spans="1:12" ht="15.75" customHeight="1">
      <c r="A229" s="180"/>
      <c r="B229" s="181"/>
      <c r="C229" s="181"/>
      <c r="D229" s="181"/>
      <c r="E229" s="181"/>
      <c r="F229" s="181"/>
      <c r="G229" s="181"/>
      <c r="H229" s="181"/>
      <c r="I229" s="181"/>
      <c r="J229" s="181"/>
      <c r="K229" s="182"/>
      <c r="L229" s="182"/>
    </row>
    <row r="230" spans="1:12" ht="15.75" customHeight="1">
      <c r="A230" s="180"/>
      <c r="B230" s="181"/>
      <c r="C230" s="181"/>
      <c r="D230" s="181"/>
      <c r="E230" s="181"/>
      <c r="F230" s="181"/>
      <c r="G230" s="181"/>
      <c r="H230" s="181"/>
      <c r="I230" s="181"/>
      <c r="J230" s="181"/>
      <c r="K230" s="182"/>
      <c r="L230" s="182"/>
    </row>
    <row r="231" spans="1:12" ht="15.75" customHeight="1">
      <c r="A231" s="180"/>
      <c r="B231" s="181"/>
      <c r="C231" s="181"/>
      <c r="D231" s="181"/>
      <c r="E231" s="181"/>
      <c r="F231" s="181"/>
      <c r="G231" s="181"/>
      <c r="H231" s="181"/>
      <c r="I231" s="181"/>
      <c r="J231" s="181"/>
      <c r="K231" s="182"/>
      <c r="L231" s="182"/>
    </row>
    <row r="232" spans="1:12" ht="15.75" customHeight="1">
      <c r="A232" s="180"/>
      <c r="B232" s="181"/>
      <c r="C232" s="181"/>
      <c r="D232" s="181"/>
      <c r="E232" s="181"/>
      <c r="F232" s="181"/>
      <c r="G232" s="181"/>
      <c r="H232" s="181"/>
      <c r="I232" s="181"/>
      <c r="J232" s="181"/>
      <c r="K232" s="182"/>
      <c r="L232" s="182"/>
    </row>
    <row r="233" spans="1:12" ht="15.75" customHeight="1">
      <c r="A233" s="180"/>
      <c r="B233" s="181"/>
      <c r="C233" s="181"/>
      <c r="D233" s="181"/>
      <c r="E233" s="181"/>
      <c r="F233" s="181"/>
      <c r="G233" s="181"/>
      <c r="H233" s="181"/>
      <c r="I233" s="181"/>
      <c r="J233" s="181"/>
      <c r="K233" s="182"/>
      <c r="L233" s="182"/>
    </row>
    <row r="234" spans="1:12" ht="15.75" customHeight="1">
      <c r="A234" s="180"/>
      <c r="B234" s="181"/>
      <c r="C234" s="181"/>
      <c r="D234" s="181"/>
      <c r="E234" s="181"/>
      <c r="F234" s="181"/>
      <c r="G234" s="181"/>
      <c r="H234" s="181"/>
      <c r="I234" s="181"/>
      <c r="J234" s="181"/>
      <c r="K234" s="182"/>
      <c r="L234" s="182"/>
    </row>
    <row r="235" spans="1:12" ht="15.75" customHeight="1">
      <c r="A235" s="180"/>
      <c r="B235" s="181"/>
      <c r="C235" s="181"/>
      <c r="D235" s="181"/>
      <c r="E235" s="181"/>
      <c r="F235" s="181"/>
      <c r="G235" s="181"/>
      <c r="H235" s="181"/>
      <c r="I235" s="181"/>
      <c r="J235" s="181"/>
      <c r="K235" s="182"/>
      <c r="L235" s="182"/>
    </row>
    <row r="236" spans="1:12" ht="15.75" customHeight="1">
      <c r="A236" s="180"/>
      <c r="B236" s="181"/>
      <c r="C236" s="181"/>
      <c r="D236" s="181"/>
      <c r="E236" s="181"/>
      <c r="F236" s="181"/>
      <c r="G236" s="181"/>
      <c r="H236" s="181"/>
      <c r="I236" s="181"/>
      <c r="J236" s="181"/>
      <c r="K236" s="182"/>
      <c r="L236" s="182"/>
    </row>
    <row r="237" spans="1:12" ht="15.75" customHeight="1">
      <c r="A237" s="180"/>
      <c r="B237" s="181"/>
      <c r="C237" s="181"/>
      <c r="D237" s="181"/>
      <c r="E237" s="181"/>
      <c r="F237" s="181"/>
      <c r="G237" s="181"/>
      <c r="H237" s="181"/>
      <c r="I237" s="181"/>
      <c r="J237" s="181"/>
      <c r="K237" s="182"/>
      <c r="L237" s="182"/>
    </row>
    <row r="238" spans="1:12" ht="15.75" customHeight="1">
      <c r="A238" s="180"/>
      <c r="B238" s="181"/>
      <c r="C238" s="181"/>
      <c r="D238" s="181"/>
      <c r="E238" s="181"/>
      <c r="F238" s="181"/>
      <c r="G238" s="181"/>
      <c r="H238" s="181"/>
      <c r="I238" s="181"/>
      <c r="J238" s="181"/>
      <c r="K238" s="182"/>
      <c r="L238" s="182"/>
    </row>
    <row r="239" spans="1:12" ht="15.75" customHeight="1">
      <c r="A239" s="180"/>
      <c r="B239" s="181"/>
      <c r="C239" s="181"/>
      <c r="D239" s="181"/>
      <c r="E239" s="181"/>
      <c r="F239" s="181"/>
      <c r="G239" s="181"/>
      <c r="H239" s="181"/>
      <c r="I239" s="181"/>
      <c r="J239" s="181"/>
      <c r="K239" s="182"/>
      <c r="L239" s="182"/>
    </row>
    <row r="240" spans="1:12" ht="15.75" customHeight="1">
      <c r="A240" s="180"/>
      <c r="B240" s="181"/>
      <c r="C240" s="181"/>
      <c r="D240" s="181"/>
      <c r="E240" s="181"/>
      <c r="F240" s="181"/>
      <c r="G240" s="181"/>
      <c r="H240" s="181"/>
      <c r="I240" s="181"/>
      <c r="J240" s="181"/>
      <c r="K240" s="182"/>
      <c r="L240" s="182"/>
    </row>
    <row r="241" spans="1:12" ht="15.75" customHeight="1">
      <c r="A241" s="180"/>
      <c r="B241" s="181"/>
      <c r="C241" s="181"/>
      <c r="D241" s="181"/>
      <c r="E241" s="181"/>
      <c r="F241" s="181"/>
      <c r="G241" s="181"/>
      <c r="H241" s="181"/>
      <c r="I241" s="181"/>
      <c r="J241" s="181"/>
      <c r="K241" s="182"/>
      <c r="L241" s="182"/>
    </row>
    <row r="242" spans="1:12" ht="15.75" customHeight="1">
      <c r="A242" s="180"/>
      <c r="B242" s="181"/>
      <c r="C242" s="181"/>
      <c r="D242" s="181"/>
      <c r="E242" s="181"/>
      <c r="F242" s="181"/>
      <c r="G242" s="181"/>
      <c r="H242" s="181"/>
      <c r="I242" s="181"/>
      <c r="J242" s="181"/>
      <c r="K242" s="182"/>
      <c r="L242" s="182"/>
    </row>
    <row r="243" spans="1:12" ht="15.75" customHeight="1">
      <c r="A243" s="180"/>
      <c r="B243" s="181"/>
      <c r="C243" s="181"/>
      <c r="D243" s="181"/>
      <c r="E243" s="181"/>
      <c r="F243" s="181"/>
      <c r="G243" s="181"/>
      <c r="H243" s="181"/>
      <c r="I243" s="181"/>
      <c r="J243" s="181"/>
      <c r="K243" s="182"/>
      <c r="L243" s="182"/>
    </row>
    <row r="244" spans="1:12" ht="15.75" customHeight="1">
      <c r="A244" s="180"/>
      <c r="B244" s="181"/>
      <c r="C244" s="181"/>
      <c r="D244" s="181"/>
      <c r="E244" s="181"/>
      <c r="F244" s="181"/>
      <c r="G244" s="181"/>
      <c r="H244" s="181"/>
      <c r="I244" s="181"/>
      <c r="J244" s="181"/>
      <c r="K244" s="182"/>
      <c r="L244" s="182"/>
    </row>
    <row r="245" spans="1:12" ht="15.75" customHeight="1">
      <c r="A245" s="180"/>
      <c r="B245" s="181"/>
      <c r="C245" s="181"/>
      <c r="D245" s="181"/>
      <c r="E245" s="181"/>
      <c r="F245" s="181"/>
      <c r="G245" s="181"/>
      <c r="H245" s="181"/>
      <c r="I245" s="181"/>
      <c r="J245" s="181"/>
      <c r="K245" s="182"/>
      <c r="L245" s="182"/>
    </row>
    <row r="246" spans="1:12" ht="15.75" customHeight="1">
      <c r="A246" s="180"/>
      <c r="B246" s="181"/>
      <c r="C246" s="181"/>
      <c r="D246" s="181"/>
      <c r="E246" s="181"/>
      <c r="F246" s="181"/>
      <c r="G246" s="181"/>
      <c r="H246" s="181"/>
      <c r="I246" s="181"/>
      <c r="J246" s="181"/>
      <c r="K246" s="182"/>
      <c r="L246" s="182"/>
    </row>
    <row r="247" spans="1:12" ht="15.75" customHeight="1">
      <c r="A247" s="180"/>
      <c r="B247" s="181"/>
      <c r="C247" s="181"/>
      <c r="D247" s="181"/>
      <c r="E247" s="181"/>
      <c r="F247" s="181"/>
      <c r="G247" s="181"/>
      <c r="H247" s="181"/>
      <c r="I247" s="181"/>
      <c r="J247" s="181"/>
      <c r="K247" s="182"/>
      <c r="L247" s="182"/>
    </row>
    <row r="248" spans="1:12" ht="15.75" customHeight="1">
      <c r="A248" s="180"/>
      <c r="B248" s="181"/>
      <c r="C248" s="181"/>
      <c r="D248" s="181"/>
      <c r="E248" s="181"/>
      <c r="F248" s="181"/>
      <c r="G248" s="181"/>
      <c r="H248" s="181"/>
      <c r="I248" s="181"/>
      <c r="J248" s="181"/>
      <c r="K248" s="182"/>
      <c r="L248" s="182"/>
    </row>
    <row r="249" spans="1:12" ht="15.75" customHeight="1">
      <c r="A249" s="180"/>
      <c r="B249" s="181"/>
      <c r="C249" s="181"/>
      <c r="D249" s="181"/>
      <c r="E249" s="181"/>
      <c r="F249" s="181"/>
      <c r="G249" s="181"/>
      <c r="H249" s="181"/>
      <c r="I249" s="181"/>
      <c r="J249" s="181"/>
      <c r="K249" s="182"/>
      <c r="L249" s="182"/>
    </row>
    <row r="250" spans="1:12" ht="15.75" customHeight="1">
      <c r="A250" s="180"/>
      <c r="B250" s="181"/>
      <c r="C250" s="181"/>
      <c r="D250" s="181"/>
      <c r="E250" s="181"/>
      <c r="F250" s="181"/>
      <c r="G250" s="181"/>
      <c r="H250" s="181"/>
      <c r="I250" s="181"/>
      <c r="J250" s="181"/>
      <c r="K250" s="182"/>
      <c r="L250" s="182"/>
    </row>
    <row r="251" spans="1:12" ht="15.75" customHeight="1">
      <c r="A251" s="180"/>
      <c r="B251" s="181"/>
      <c r="C251" s="181"/>
      <c r="D251" s="181"/>
      <c r="E251" s="181"/>
      <c r="F251" s="181"/>
      <c r="G251" s="181"/>
      <c r="H251" s="181"/>
      <c r="I251" s="181"/>
      <c r="J251" s="181"/>
      <c r="K251" s="182"/>
      <c r="L251" s="182"/>
    </row>
    <row r="252" spans="1:12" ht="15.75" customHeight="1">
      <c r="A252" s="180"/>
      <c r="B252" s="181"/>
      <c r="C252" s="181"/>
      <c r="D252" s="181"/>
      <c r="E252" s="181"/>
      <c r="F252" s="181"/>
      <c r="G252" s="181"/>
      <c r="H252" s="181"/>
      <c r="I252" s="181"/>
      <c r="J252" s="181"/>
      <c r="K252" s="182"/>
      <c r="L252" s="182"/>
    </row>
    <row r="253" spans="1:12" ht="15.75" customHeight="1">
      <c r="A253" s="180"/>
      <c r="B253" s="181"/>
      <c r="C253" s="181"/>
      <c r="D253" s="181"/>
      <c r="E253" s="181"/>
      <c r="F253" s="181"/>
      <c r="G253" s="181"/>
      <c r="H253" s="181"/>
      <c r="I253" s="181"/>
      <c r="J253" s="181"/>
      <c r="K253" s="182"/>
      <c r="L253" s="182"/>
    </row>
    <row r="254" spans="1:12" ht="15.75" customHeight="1">
      <c r="A254" s="180"/>
      <c r="B254" s="181"/>
      <c r="C254" s="181"/>
      <c r="D254" s="181"/>
      <c r="E254" s="181"/>
      <c r="F254" s="181"/>
      <c r="G254" s="181"/>
      <c r="H254" s="181"/>
      <c r="I254" s="181"/>
      <c r="J254" s="181"/>
      <c r="K254" s="182"/>
      <c r="L254" s="182"/>
    </row>
    <row r="255" spans="1:12" ht="15.75" customHeight="1">
      <c r="A255" s="180"/>
      <c r="B255" s="181"/>
      <c r="C255" s="181"/>
      <c r="D255" s="181"/>
      <c r="E255" s="181"/>
      <c r="F255" s="181"/>
      <c r="G255" s="181"/>
      <c r="H255" s="181"/>
      <c r="I255" s="181"/>
      <c r="J255" s="181"/>
      <c r="K255" s="182"/>
      <c r="L255" s="182"/>
    </row>
    <row r="256" spans="1:12" ht="15.75" customHeight="1">
      <c r="A256" s="180"/>
      <c r="B256" s="181"/>
      <c r="C256" s="181"/>
      <c r="D256" s="181"/>
      <c r="E256" s="181"/>
      <c r="F256" s="181"/>
      <c r="G256" s="181"/>
      <c r="H256" s="181"/>
      <c r="I256" s="181"/>
      <c r="J256" s="181"/>
      <c r="K256" s="182"/>
      <c r="L256" s="182"/>
    </row>
    <row r="257" spans="1:12" ht="15.75" customHeight="1">
      <c r="A257" s="180"/>
      <c r="B257" s="181"/>
      <c r="C257" s="181"/>
      <c r="D257" s="181"/>
      <c r="E257" s="181"/>
      <c r="F257" s="181"/>
      <c r="G257" s="181"/>
      <c r="H257" s="181"/>
      <c r="I257" s="181"/>
      <c r="J257" s="181"/>
      <c r="K257" s="182"/>
      <c r="L257" s="182"/>
    </row>
    <row r="258" spans="1:12" ht="15.75" customHeight="1">
      <c r="A258" s="180"/>
      <c r="B258" s="181"/>
      <c r="C258" s="181"/>
      <c r="D258" s="181"/>
      <c r="E258" s="181"/>
      <c r="F258" s="181"/>
      <c r="G258" s="181"/>
      <c r="H258" s="181"/>
      <c r="I258" s="181"/>
      <c r="J258" s="181"/>
      <c r="K258" s="182"/>
      <c r="L258" s="182"/>
    </row>
    <row r="259" spans="1:12" ht="15.75" customHeight="1">
      <c r="A259" s="180"/>
      <c r="B259" s="181"/>
      <c r="C259" s="181"/>
      <c r="D259" s="181"/>
      <c r="E259" s="181"/>
      <c r="F259" s="181"/>
      <c r="G259" s="181"/>
      <c r="H259" s="181"/>
      <c r="I259" s="181"/>
      <c r="J259" s="181"/>
      <c r="K259" s="182"/>
      <c r="L259" s="182"/>
    </row>
    <row r="260" spans="1:12" ht="15.75" customHeight="1">
      <c r="A260" s="180"/>
      <c r="B260" s="181"/>
      <c r="C260" s="181"/>
      <c r="D260" s="181"/>
      <c r="E260" s="181"/>
      <c r="F260" s="181"/>
      <c r="G260" s="181"/>
      <c r="H260" s="181"/>
      <c r="I260" s="181"/>
      <c r="J260" s="181"/>
      <c r="K260" s="182"/>
      <c r="L260" s="182"/>
    </row>
    <row r="261" spans="1:12" ht="15.75" customHeight="1">
      <c r="A261" s="180"/>
      <c r="B261" s="181"/>
      <c r="C261" s="181"/>
      <c r="D261" s="181"/>
      <c r="E261" s="181"/>
      <c r="F261" s="181"/>
      <c r="G261" s="181"/>
      <c r="H261" s="181"/>
      <c r="I261" s="181"/>
      <c r="J261" s="181"/>
      <c r="K261" s="182"/>
      <c r="L261" s="182"/>
    </row>
    <row r="262" spans="1:12" ht="15.75" customHeight="1">
      <c r="A262" s="180"/>
      <c r="B262" s="181"/>
      <c r="C262" s="181"/>
      <c r="D262" s="181"/>
      <c r="E262" s="181"/>
      <c r="F262" s="181"/>
      <c r="G262" s="181"/>
      <c r="H262" s="181"/>
      <c r="I262" s="181"/>
      <c r="J262" s="181"/>
      <c r="K262" s="182"/>
      <c r="L262" s="182"/>
    </row>
    <row r="263" spans="1:12" ht="15.75" customHeight="1">
      <c r="A263" s="180"/>
      <c r="B263" s="181"/>
      <c r="C263" s="181"/>
      <c r="D263" s="181"/>
      <c r="E263" s="181"/>
      <c r="F263" s="181"/>
      <c r="G263" s="181"/>
      <c r="H263" s="181"/>
      <c r="I263" s="181"/>
      <c r="J263" s="181"/>
      <c r="K263" s="182"/>
      <c r="L263" s="182"/>
    </row>
    <row r="264" spans="1:12" ht="15.75" customHeight="1">
      <c r="A264" s="180"/>
      <c r="B264" s="181"/>
      <c r="C264" s="181"/>
      <c r="D264" s="181"/>
      <c r="E264" s="181"/>
      <c r="F264" s="181"/>
      <c r="G264" s="181"/>
      <c r="H264" s="181"/>
      <c r="I264" s="181"/>
      <c r="J264" s="181"/>
      <c r="K264" s="182"/>
      <c r="L264" s="182"/>
    </row>
    <row r="265" spans="1:12" ht="15.75" customHeight="1">
      <c r="A265" s="180"/>
      <c r="B265" s="181"/>
      <c r="C265" s="181"/>
      <c r="D265" s="181"/>
      <c r="E265" s="181"/>
      <c r="F265" s="181"/>
      <c r="G265" s="181"/>
      <c r="H265" s="181"/>
      <c r="I265" s="181"/>
      <c r="J265" s="181"/>
      <c r="K265" s="182"/>
      <c r="L265" s="182"/>
    </row>
    <row r="266" spans="1:12" ht="15.75" customHeight="1">
      <c r="A266" s="180"/>
      <c r="B266" s="181"/>
      <c r="C266" s="181"/>
      <c r="D266" s="181"/>
      <c r="E266" s="181"/>
      <c r="F266" s="181"/>
      <c r="G266" s="181"/>
      <c r="H266" s="181"/>
      <c r="I266" s="181"/>
      <c r="J266" s="181"/>
      <c r="K266" s="182"/>
      <c r="L266" s="182"/>
    </row>
    <row r="267" spans="1:12" ht="15.75" customHeight="1">
      <c r="A267" s="180"/>
      <c r="B267" s="181"/>
      <c r="C267" s="181"/>
      <c r="D267" s="181"/>
      <c r="E267" s="181"/>
      <c r="F267" s="181"/>
      <c r="G267" s="181"/>
      <c r="H267" s="181"/>
      <c r="I267" s="181"/>
      <c r="J267" s="181"/>
      <c r="K267" s="182"/>
      <c r="L267" s="182"/>
    </row>
    <row r="268" spans="1:12" ht="15.75" customHeight="1">
      <c r="A268" s="180"/>
      <c r="B268" s="181"/>
      <c r="C268" s="181"/>
      <c r="D268" s="181"/>
      <c r="E268" s="181"/>
      <c r="F268" s="181"/>
      <c r="G268" s="181"/>
      <c r="H268" s="181"/>
      <c r="I268" s="181"/>
      <c r="J268" s="181"/>
      <c r="K268" s="182"/>
      <c r="L268" s="182"/>
    </row>
    <row r="269" spans="1:12" ht="15.75" customHeight="1">
      <c r="A269" s="180"/>
      <c r="B269" s="181"/>
      <c r="C269" s="181"/>
      <c r="D269" s="181"/>
      <c r="E269" s="181"/>
      <c r="F269" s="181"/>
      <c r="G269" s="181"/>
      <c r="H269" s="181"/>
      <c r="I269" s="181"/>
      <c r="J269" s="181"/>
      <c r="K269" s="182"/>
      <c r="L269" s="182"/>
    </row>
    <row r="270" spans="1:12" ht="15.75" customHeight="1">
      <c r="A270" s="180"/>
      <c r="B270" s="181"/>
      <c r="C270" s="181"/>
      <c r="D270" s="181"/>
      <c r="E270" s="181"/>
      <c r="F270" s="181"/>
      <c r="G270" s="181"/>
      <c r="H270" s="181"/>
      <c r="I270" s="181"/>
      <c r="J270" s="181"/>
      <c r="K270" s="182"/>
      <c r="L270" s="182"/>
    </row>
    <row r="271" spans="1:12" ht="15.75" customHeight="1">
      <c r="A271" s="180"/>
      <c r="B271" s="181"/>
      <c r="C271" s="181"/>
      <c r="D271" s="181"/>
      <c r="E271" s="181"/>
      <c r="F271" s="181"/>
      <c r="G271" s="181"/>
      <c r="H271" s="181"/>
      <c r="I271" s="181"/>
      <c r="J271" s="181"/>
      <c r="K271" s="182"/>
      <c r="L271" s="182"/>
    </row>
    <row r="272" spans="1:12" ht="15.75" customHeight="1">
      <c r="A272" s="180"/>
      <c r="B272" s="181"/>
      <c r="C272" s="181"/>
      <c r="D272" s="181"/>
      <c r="E272" s="181"/>
      <c r="F272" s="181"/>
      <c r="G272" s="181"/>
      <c r="H272" s="181"/>
      <c r="I272" s="181"/>
      <c r="J272" s="181"/>
      <c r="K272" s="182"/>
      <c r="L272" s="182"/>
    </row>
    <row r="273" spans="1:12" ht="15.75" customHeight="1">
      <c r="A273" s="180"/>
      <c r="B273" s="181"/>
      <c r="C273" s="181"/>
      <c r="D273" s="181"/>
      <c r="E273" s="181"/>
      <c r="F273" s="181"/>
      <c r="G273" s="181"/>
      <c r="H273" s="181"/>
      <c r="I273" s="181"/>
      <c r="J273" s="181"/>
      <c r="K273" s="182"/>
      <c r="L273" s="182"/>
    </row>
    <row r="274" spans="1:12" ht="15.75" customHeight="1">
      <c r="A274" s="180"/>
      <c r="B274" s="181"/>
      <c r="C274" s="181"/>
      <c r="D274" s="181"/>
      <c r="E274" s="181"/>
      <c r="F274" s="181"/>
      <c r="G274" s="181"/>
      <c r="H274" s="181"/>
      <c r="I274" s="181"/>
      <c r="J274" s="181"/>
      <c r="K274" s="182"/>
      <c r="L274" s="182"/>
    </row>
    <row r="275" spans="1:12" ht="15.75" customHeight="1">
      <c r="A275" s="180"/>
      <c r="B275" s="181"/>
      <c r="C275" s="181"/>
      <c r="D275" s="181"/>
      <c r="E275" s="181"/>
      <c r="F275" s="181"/>
      <c r="G275" s="181"/>
      <c r="H275" s="181"/>
      <c r="I275" s="181"/>
      <c r="J275" s="181"/>
      <c r="K275" s="182"/>
      <c r="L275" s="182"/>
    </row>
    <row r="276" spans="1:12" ht="15.75" customHeight="1">
      <c r="A276" s="180"/>
      <c r="B276" s="181"/>
      <c r="C276" s="181"/>
      <c r="D276" s="181"/>
      <c r="E276" s="181"/>
      <c r="F276" s="181"/>
      <c r="G276" s="181"/>
      <c r="H276" s="181"/>
      <c r="I276" s="181"/>
      <c r="J276" s="181"/>
      <c r="K276" s="182"/>
      <c r="L276" s="182"/>
    </row>
    <row r="277" spans="1:12" ht="15.75" customHeight="1">
      <c r="A277" s="180"/>
      <c r="B277" s="181"/>
      <c r="C277" s="181"/>
      <c r="D277" s="181"/>
      <c r="E277" s="181"/>
      <c r="F277" s="181"/>
      <c r="G277" s="181"/>
      <c r="H277" s="181"/>
      <c r="I277" s="181"/>
      <c r="J277" s="181"/>
      <c r="K277" s="182"/>
      <c r="L277" s="182"/>
    </row>
    <row r="278" spans="1:12" ht="15.75" customHeight="1">
      <c r="A278" s="180"/>
      <c r="B278" s="181"/>
      <c r="C278" s="181"/>
      <c r="D278" s="181"/>
      <c r="E278" s="181"/>
      <c r="F278" s="181"/>
      <c r="G278" s="181"/>
      <c r="H278" s="181"/>
      <c r="I278" s="181"/>
      <c r="J278" s="181"/>
      <c r="K278" s="182"/>
      <c r="L278" s="182"/>
    </row>
    <row r="279" spans="1:12" ht="15.75" customHeight="1">
      <c r="A279" s="180"/>
      <c r="B279" s="181"/>
      <c r="C279" s="181"/>
      <c r="D279" s="181"/>
      <c r="E279" s="181"/>
      <c r="F279" s="181"/>
      <c r="G279" s="181"/>
      <c r="H279" s="181"/>
      <c r="I279" s="181"/>
      <c r="J279" s="181"/>
      <c r="K279" s="182"/>
      <c r="L279" s="182"/>
    </row>
    <row r="280" spans="1:12" ht="15.75" customHeight="1">
      <c r="A280" s="180"/>
      <c r="B280" s="181"/>
      <c r="C280" s="181"/>
      <c r="D280" s="181"/>
      <c r="E280" s="181"/>
      <c r="F280" s="181"/>
      <c r="G280" s="181"/>
      <c r="H280" s="181"/>
      <c r="I280" s="181"/>
      <c r="J280" s="181"/>
      <c r="K280" s="182"/>
      <c r="L280" s="182"/>
    </row>
    <row r="281" spans="1:12" ht="15.75" customHeight="1">
      <c r="A281" s="180"/>
      <c r="B281" s="181"/>
      <c r="C281" s="181"/>
      <c r="D281" s="181"/>
      <c r="E281" s="181"/>
      <c r="F281" s="181"/>
      <c r="G281" s="181"/>
      <c r="H281" s="181"/>
      <c r="I281" s="181"/>
      <c r="J281" s="181"/>
      <c r="K281" s="182"/>
      <c r="L281" s="182"/>
    </row>
    <row r="282" spans="1:12" ht="15.75" customHeight="1">
      <c r="A282" s="180"/>
      <c r="B282" s="181"/>
      <c r="C282" s="181"/>
      <c r="D282" s="181"/>
      <c r="E282" s="181"/>
      <c r="F282" s="181"/>
      <c r="G282" s="181"/>
      <c r="H282" s="181"/>
      <c r="I282" s="181"/>
      <c r="J282" s="181"/>
      <c r="K282" s="182"/>
      <c r="L282" s="182"/>
    </row>
    <row r="283" spans="1:12" ht="15.75" customHeight="1">
      <c r="A283" s="180"/>
      <c r="B283" s="181"/>
      <c r="C283" s="181"/>
      <c r="D283" s="181"/>
      <c r="E283" s="181"/>
      <c r="F283" s="181"/>
      <c r="G283" s="181"/>
      <c r="H283" s="181"/>
      <c r="I283" s="181"/>
      <c r="J283" s="181"/>
      <c r="K283" s="182"/>
      <c r="L283" s="182"/>
    </row>
    <row r="284" spans="1:12" ht="15.75" customHeight="1">
      <c r="A284" s="180"/>
      <c r="B284" s="181"/>
      <c r="C284" s="181"/>
      <c r="D284" s="181"/>
      <c r="E284" s="181"/>
      <c r="F284" s="181"/>
      <c r="G284" s="181"/>
      <c r="H284" s="181"/>
      <c r="I284" s="181"/>
      <c r="J284" s="181"/>
      <c r="K284" s="182"/>
      <c r="L284" s="182"/>
    </row>
    <row r="285" spans="1:12" ht="15.75" customHeight="1">
      <c r="A285" s="180"/>
      <c r="B285" s="181"/>
      <c r="C285" s="181"/>
      <c r="D285" s="181"/>
      <c r="E285" s="181"/>
      <c r="F285" s="181"/>
      <c r="G285" s="181"/>
      <c r="H285" s="181"/>
      <c r="I285" s="181"/>
      <c r="J285" s="181"/>
      <c r="K285" s="182"/>
      <c r="L285" s="182"/>
    </row>
    <row r="286" spans="1:12" ht="15.75" customHeight="1">
      <c r="A286" s="180"/>
      <c r="B286" s="181"/>
      <c r="C286" s="181"/>
      <c r="D286" s="181"/>
      <c r="E286" s="181"/>
      <c r="F286" s="181"/>
      <c r="G286" s="181"/>
      <c r="H286" s="181"/>
      <c r="I286" s="181"/>
      <c r="J286" s="181"/>
      <c r="K286" s="182"/>
      <c r="L286" s="182"/>
    </row>
    <row r="287" spans="1:12" ht="15.75" customHeight="1">
      <c r="A287" s="180"/>
      <c r="B287" s="181"/>
      <c r="C287" s="181"/>
      <c r="D287" s="181"/>
      <c r="E287" s="181"/>
      <c r="F287" s="181"/>
      <c r="G287" s="181"/>
      <c r="H287" s="181"/>
      <c r="I287" s="181"/>
      <c r="J287" s="181"/>
      <c r="K287" s="182"/>
      <c r="L287" s="182"/>
    </row>
    <row r="288" spans="1:12" ht="15.75" customHeight="1">
      <c r="A288" s="180"/>
      <c r="B288" s="181"/>
      <c r="C288" s="181"/>
      <c r="D288" s="181"/>
      <c r="E288" s="181"/>
      <c r="F288" s="181"/>
      <c r="G288" s="181"/>
      <c r="H288" s="181"/>
      <c r="I288" s="181"/>
      <c r="J288" s="181"/>
      <c r="K288" s="182"/>
      <c r="L288" s="182"/>
    </row>
    <row r="289" spans="1:12" ht="15.75" customHeight="1">
      <c r="A289" s="180"/>
      <c r="B289" s="181"/>
      <c r="C289" s="181"/>
      <c r="D289" s="181"/>
      <c r="E289" s="181"/>
      <c r="F289" s="181"/>
      <c r="G289" s="181"/>
      <c r="H289" s="181"/>
      <c r="I289" s="181"/>
      <c r="J289" s="181"/>
      <c r="K289" s="182"/>
      <c r="L289" s="182"/>
    </row>
    <row r="290" spans="1:12" ht="15.75" customHeight="1">
      <c r="A290" s="180"/>
      <c r="B290" s="181"/>
      <c r="C290" s="181"/>
      <c r="D290" s="181"/>
      <c r="E290" s="181"/>
      <c r="F290" s="181"/>
      <c r="G290" s="181"/>
      <c r="H290" s="181"/>
      <c r="I290" s="181"/>
      <c r="J290" s="181"/>
      <c r="K290" s="182"/>
      <c r="L290" s="182"/>
    </row>
    <row r="291" spans="1:12" ht="15.75" customHeight="1">
      <c r="A291" s="180"/>
      <c r="B291" s="181"/>
      <c r="C291" s="181"/>
      <c r="D291" s="181"/>
      <c r="E291" s="181"/>
      <c r="F291" s="181"/>
      <c r="G291" s="181"/>
      <c r="H291" s="181"/>
      <c r="I291" s="181"/>
      <c r="J291" s="181"/>
      <c r="K291" s="182"/>
      <c r="L291" s="182"/>
    </row>
    <row r="292" spans="1:12" ht="15.75" customHeight="1">
      <c r="A292" s="180"/>
      <c r="B292" s="181"/>
      <c r="C292" s="181"/>
      <c r="D292" s="181"/>
      <c r="E292" s="181"/>
      <c r="F292" s="181"/>
      <c r="G292" s="181"/>
      <c r="H292" s="181"/>
      <c r="I292" s="181"/>
      <c r="J292" s="181"/>
      <c r="K292" s="182"/>
      <c r="L292" s="182"/>
    </row>
    <row r="293" spans="1:12" ht="15.75" customHeight="1">
      <c r="A293" s="180"/>
      <c r="B293" s="181"/>
      <c r="C293" s="181"/>
      <c r="D293" s="181"/>
      <c r="E293" s="181"/>
      <c r="F293" s="181"/>
      <c r="G293" s="181"/>
      <c r="H293" s="181"/>
      <c r="I293" s="181"/>
      <c r="J293" s="181"/>
      <c r="K293" s="182"/>
      <c r="L293" s="182"/>
    </row>
    <row r="294" spans="1:12" ht="15.75" customHeight="1">
      <c r="A294" s="180"/>
      <c r="B294" s="181"/>
      <c r="C294" s="181"/>
      <c r="D294" s="181"/>
      <c r="E294" s="181"/>
      <c r="F294" s="181"/>
      <c r="G294" s="181"/>
      <c r="H294" s="181"/>
      <c r="I294" s="181"/>
      <c r="J294" s="181"/>
      <c r="K294" s="182"/>
      <c r="L294" s="182"/>
    </row>
    <row r="295" spans="1:12" ht="15.75" customHeight="1">
      <c r="A295" s="180"/>
      <c r="B295" s="181"/>
      <c r="C295" s="181"/>
      <c r="D295" s="181"/>
      <c r="E295" s="181"/>
      <c r="F295" s="181"/>
      <c r="G295" s="181"/>
      <c r="H295" s="181"/>
      <c r="I295" s="181"/>
      <c r="J295" s="181"/>
      <c r="K295" s="182"/>
      <c r="L295" s="182"/>
    </row>
    <row r="296" spans="1:12" ht="15.75" customHeight="1">
      <c r="A296" s="180"/>
      <c r="B296" s="181"/>
      <c r="C296" s="181"/>
      <c r="D296" s="181"/>
      <c r="E296" s="181"/>
      <c r="F296" s="181"/>
      <c r="G296" s="181"/>
      <c r="H296" s="181"/>
      <c r="I296" s="181"/>
      <c r="J296" s="181"/>
      <c r="K296" s="182"/>
      <c r="L296" s="182"/>
    </row>
    <row r="297" spans="1:12" ht="15.75" customHeight="1">
      <c r="A297" s="180"/>
      <c r="B297" s="181"/>
      <c r="C297" s="181"/>
      <c r="D297" s="181"/>
      <c r="E297" s="181"/>
      <c r="F297" s="181"/>
      <c r="G297" s="181"/>
      <c r="H297" s="181"/>
      <c r="I297" s="181"/>
      <c r="J297" s="181"/>
      <c r="K297" s="182"/>
      <c r="L297" s="182"/>
    </row>
    <row r="298" spans="1:12" ht="15.75" customHeight="1">
      <c r="A298" s="180"/>
      <c r="B298" s="181"/>
      <c r="C298" s="181"/>
      <c r="D298" s="181"/>
      <c r="E298" s="181"/>
      <c r="F298" s="181"/>
      <c r="G298" s="181"/>
      <c r="H298" s="181"/>
      <c r="I298" s="181"/>
      <c r="J298" s="181"/>
      <c r="K298" s="182"/>
      <c r="L298" s="182"/>
    </row>
    <row r="299" spans="1:12" ht="15.75" customHeight="1">
      <c r="A299" s="180"/>
      <c r="B299" s="181"/>
      <c r="C299" s="181"/>
      <c r="D299" s="181"/>
      <c r="E299" s="181"/>
      <c r="F299" s="181"/>
      <c r="G299" s="181"/>
      <c r="H299" s="181"/>
      <c r="I299" s="181"/>
      <c r="J299" s="181"/>
      <c r="K299" s="182"/>
      <c r="L299" s="182"/>
    </row>
    <row r="300" spans="1:12" ht="15.75" customHeight="1">
      <c r="A300" s="180"/>
      <c r="B300" s="181"/>
      <c r="C300" s="181"/>
      <c r="D300" s="181"/>
      <c r="E300" s="181"/>
      <c r="F300" s="181"/>
      <c r="G300" s="181"/>
      <c r="H300" s="181"/>
      <c r="I300" s="181"/>
      <c r="J300" s="181"/>
      <c r="K300" s="182"/>
      <c r="L300" s="182"/>
    </row>
    <row r="301" spans="1:12" ht="15.75" customHeight="1">
      <c r="A301" s="180"/>
      <c r="B301" s="181"/>
      <c r="C301" s="181"/>
      <c r="D301" s="181"/>
      <c r="E301" s="181"/>
      <c r="F301" s="181"/>
      <c r="G301" s="181"/>
      <c r="H301" s="181"/>
      <c r="I301" s="181"/>
      <c r="J301" s="181"/>
      <c r="K301" s="182"/>
      <c r="L301" s="182"/>
    </row>
    <row r="302" spans="1:12" ht="15.75" customHeight="1">
      <c r="A302" s="180"/>
      <c r="B302" s="181"/>
      <c r="C302" s="181"/>
      <c r="D302" s="181"/>
      <c r="E302" s="181"/>
      <c r="F302" s="181"/>
      <c r="G302" s="181"/>
      <c r="H302" s="181"/>
      <c r="I302" s="181"/>
      <c r="J302" s="181"/>
      <c r="K302" s="182"/>
      <c r="L302" s="182"/>
    </row>
    <row r="303" spans="1:12" ht="15.75" customHeight="1">
      <c r="A303" s="180"/>
      <c r="B303" s="181"/>
      <c r="C303" s="181"/>
      <c r="D303" s="181"/>
      <c r="E303" s="181"/>
      <c r="F303" s="181"/>
      <c r="G303" s="181"/>
      <c r="H303" s="181"/>
      <c r="I303" s="181"/>
      <c r="J303" s="181"/>
      <c r="K303" s="182"/>
      <c r="L303" s="182"/>
    </row>
    <row r="304" spans="1:12" ht="15.75" customHeight="1">
      <c r="A304" s="180"/>
      <c r="B304" s="181"/>
      <c r="C304" s="181"/>
      <c r="D304" s="181"/>
      <c r="E304" s="181"/>
      <c r="F304" s="181"/>
      <c r="G304" s="181"/>
      <c r="H304" s="181"/>
      <c r="I304" s="181"/>
      <c r="J304" s="181"/>
      <c r="K304" s="182"/>
      <c r="L304" s="182"/>
    </row>
    <row r="305" spans="1:12" ht="15.75" customHeight="1">
      <c r="A305" s="180"/>
      <c r="B305" s="181"/>
      <c r="C305" s="181"/>
      <c r="D305" s="181"/>
      <c r="E305" s="181"/>
      <c r="F305" s="181"/>
      <c r="G305" s="181"/>
      <c r="H305" s="181"/>
      <c r="I305" s="181"/>
      <c r="J305" s="181"/>
      <c r="K305" s="182"/>
      <c r="L305" s="182"/>
    </row>
    <row r="306" spans="1:12" ht="15.75" customHeight="1">
      <c r="A306" s="180"/>
      <c r="B306" s="181"/>
      <c r="C306" s="181"/>
      <c r="D306" s="181"/>
      <c r="E306" s="181"/>
      <c r="F306" s="181"/>
      <c r="G306" s="181"/>
      <c r="H306" s="181"/>
      <c r="I306" s="181"/>
      <c r="J306" s="181"/>
      <c r="K306" s="182"/>
      <c r="L306" s="182"/>
    </row>
    <row r="307" spans="1:12" ht="15.75" customHeight="1">
      <c r="A307" s="180"/>
      <c r="B307" s="181"/>
      <c r="C307" s="181"/>
      <c r="D307" s="181"/>
      <c r="E307" s="181"/>
      <c r="F307" s="181"/>
      <c r="G307" s="181"/>
      <c r="H307" s="181"/>
      <c r="I307" s="181"/>
      <c r="J307" s="181"/>
      <c r="K307" s="182"/>
      <c r="L307" s="182"/>
    </row>
    <row r="308" spans="1:12" ht="15.75" customHeight="1">
      <c r="A308" s="180"/>
      <c r="B308" s="181"/>
      <c r="C308" s="181"/>
      <c r="D308" s="181"/>
      <c r="E308" s="181"/>
      <c r="F308" s="181"/>
      <c r="G308" s="181"/>
      <c r="H308" s="181"/>
      <c r="I308" s="181"/>
      <c r="J308" s="181"/>
      <c r="K308" s="182"/>
      <c r="L308" s="182"/>
    </row>
    <row r="309" spans="1:12" ht="15.75" customHeight="1">
      <c r="A309" s="180"/>
      <c r="B309" s="181"/>
      <c r="C309" s="181"/>
      <c r="D309" s="181"/>
      <c r="E309" s="181"/>
      <c r="F309" s="181"/>
      <c r="G309" s="181"/>
      <c r="H309" s="181"/>
      <c r="I309" s="181"/>
      <c r="J309" s="181"/>
      <c r="K309" s="182"/>
      <c r="L309" s="182"/>
    </row>
    <row r="310" spans="1:12" ht="15.75" customHeight="1">
      <c r="A310" s="180"/>
      <c r="B310" s="181"/>
      <c r="C310" s="181"/>
      <c r="D310" s="181"/>
      <c r="E310" s="181"/>
      <c r="F310" s="181"/>
      <c r="G310" s="181"/>
      <c r="H310" s="181"/>
      <c r="I310" s="181"/>
      <c r="J310" s="181"/>
      <c r="K310" s="182"/>
      <c r="L310" s="182"/>
    </row>
    <row r="311" spans="1:12" ht="15.75" customHeight="1">
      <c r="A311" s="180"/>
      <c r="B311" s="181"/>
      <c r="C311" s="181"/>
      <c r="D311" s="181"/>
      <c r="E311" s="181"/>
      <c r="F311" s="181"/>
      <c r="G311" s="181"/>
      <c r="H311" s="181"/>
      <c r="I311" s="181"/>
      <c r="J311" s="181"/>
      <c r="K311" s="182"/>
      <c r="L311" s="182"/>
    </row>
    <row r="312" spans="1:12" ht="15.75" customHeight="1">
      <c r="A312" s="180"/>
      <c r="B312" s="181"/>
      <c r="C312" s="181"/>
      <c r="D312" s="181"/>
      <c r="E312" s="181"/>
      <c r="F312" s="181"/>
      <c r="G312" s="181"/>
      <c r="H312" s="181"/>
      <c r="I312" s="181"/>
      <c r="J312" s="181"/>
      <c r="K312" s="182"/>
      <c r="L312" s="182"/>
    </row>
    <row r="313" spans="1:12" ht="15.75" customHeight="1">
      <c r="A313" s="180"/>
      <c r="B313" s="181"/>
      <c r="C313" s="181"/>
      <c r="D313" s="181"/>
      <c r="E313" s="181"/>
      <c r="F313" s="181"/>
      <c r="G313" s="181"/>
      <c r="H313" s="181"/>
      <c r="I313" s="181"/>
      <c r="J313" s="181"/>
      <c r="K313" s="182"/>
      <c r="L313" s="182"/>
    </row>
    <row r="314" spans="1:12" ht="15.75" customHeight="1">
      <c r="A314" s="180"/>
      <c r="B314" s="181"/>
      <c r="C314" s="181"/>
      <c r="D314" s="181"/>
      <c r="E314" s="181"/>
      <c r="F314" s="181"/>
      <c r="G314" s="181"/>
      <c r="H314" s="181"/>
      <c r="I314" s="181"/>
      <c r="J314" s="181"/>
      <c r="K314" s="182"/>
      <c r="L314" s="182"/>
    </row>
    <row r="315" spans="1:12" ht="15.75" customHeight="1">
      <c r="A315" s="180"/>
      <c r="B315" s="181"/>
      <c r="C315" s="181"/>
      <c r="D315" s="181"/>
      <c r="E315" s="181"/>
      <c r="F315" s="181"/>
      <c r="G315" s="181"/>
      <c r="H315" s="181"/>
      <c r="I315" s="181"/>
      <c r="J315" s="181"/>
      <c r="K315" s="182"/>
      <c r="L315" s="182"/>
    </row>
    <row r="316" spans="1:12" ht="15.75" customHeight="1">
      <c r="A316" s="180"/>
      <c r="B316" s="181"/>
      <c r="C316" s="181"/>
      <c r="D316" s="181"/>
      <c r="E316" s="181"/>
      <c r="F316" s="181"/>
      <c r="G316" s="181"/>
      <c r="H316" s="181"/>
      <c r="I316" s="181"/>
      <c r="J316" s="181"/>
      <c r="K316" s="182"/>
      <c r="L316" s="182"/>
    </row>
    <row r="317" spans="1:12" ht="15.75" customHeight="1">
      <c r="A317" s="180"/>
      <c r="B317" s="181"/>
      <c r="C317" s="181"/>
      <c r="D317" s="181"/>
      <c r="E317" s="181"/>
      <c r="F317" s="181"/>
      <c r="G317" s="181"/>
      <c r="H317" s="181"/>
      <c r="I317" s="181"/>
      <c r="J317" s="181"/>
      <c r="K317" s="182"/>
      <c r="L317" s="182"/>
    </row>
    <row r="318" spans="1:12" ht="15.75" customHeight="1">
      <c r="A318" s="180"/>
      <c r="B318" s="181"/>
      <c r="C318" s="181"/>
      <c r="D318" s="181"/>
      <c r="E318" s="181"/>
      <c r="F318" s="181"/>
      <c r="G318" s="181"/>
      <c r="H318" s="181"/>
      <c r="I318" s="181"/>
      <c r="J318" s="181"/>
      <c r="K318" s="182"/>
      <c r="L318" s="182"/>
    </row>
    <row r="319" spans="1:12" ht="15.75" customHeight="1">
      <c r="A319" s="180"/>
      <c r="B319" s="181"/>
      <c r="C319" s="181"/>
      <c r="D319" s="181"/>
      <c r="E319" s="181"/>
      <c r="F319" s="181"/>
      <c r="G319" s="181"/>
      <c r="H319" s="181"/>
      <c r="I319" s="181"/>
      <c r="J319" s="181"/>
      <c r="K319" s="182"/>
      <c r="L319" s="182"/>
    </row>
    <row r="320" spans="1:12" ht="15.75" customHeight="1">
      <c r="A320" s="180"/>
      <c r="B320" s="181"/>
      <c r="C320" s="181"/>
      <c r="D320" s="181"/>
      <c r="E320" s="181"/>
      <c r="F320" s="181"/>
      <c r="G320" s="181"/>
      <c r="H320" s="181"/>
      <c r="I320" s="181"/>
      <c r="J320" s="181"/>
      <c r="K320" s="182"/>
      <c r="L320" s="182"/>
    </row>
    <row r="321" spans="1:12" ht="15.75" customHeight="1">
      <c r="A321" s="180"/>
      <c r="B321" s="181"/>
      <c r="C321" s="181"/>
      <c r="D321" s="181"/>
      <c r="E321" s="181"/>
      <c r="F321" s="181"/>
      <c r="G321" s="181"/>
      <c r="H321" s="181"/>
      <c r="I321" s="181"/>
      <c r="J321" s="181"/>
      <c r="K321" s="182"/>
      <c r="L321" s="182"/>
    </row>
    <row r="322" spans="1:12" ht="15.75" customHeight="1">
      <c r="A322" s="180"/>
      <c r="B322" s="181"/>
      <c r="C322" s="181"/>
      <c r="D322" s="181"/>
      <c r="E322" s="181"/>
      <c r="F322" s="181"/>
      <c r="G322" s="181"/>
      <c r="H322" s="181"/>
      <c r="I322" s="181"/>
      <c r="J322" s="181"/>
      <c r="K322" s="182"/>
      <c r="L322" s="182"/>
    </row>
    <row r="323" spans="1:12" ht="15.75" customHeight="1">
      <c r="A323" s="180"/>
      <c r="B323" s="181"/>
      <c r="C323" s="181"/>
      <c r="D323" s="181"/>
      <c r="E323" s="181"/>
      <c r="F323" s="181"/>
      <c r="G323" s="181"/>
      <c r="H323" s="181"/>
      <c r="I323" s="181"/>
      <c r="J323" s="181"/>
      <c r="K323" s="182"/>
      <c r="L323" s="182"/>
    </row>
    <row r="324" spans="1:12" ht="15.75" customHeight="1">
      <c r="A324" s="180"/>
      <c r="B324" s="181"/>
      <c r="C324" s="181"/>
      <c r="D324" s="181"/>
      <c r="E324" s="181"/>
      <c r="F324" s="181"/>
      <c r="G324" s="181"/>
      <c r="H324" s="181"/>
      <c r="I324" s="181"/>
      <c r="J324" s="181"/>
      <c r="K324" s="182"/>
      <c r="L324" s="182"/>
    </row>
    <row r="325" spans="1:12" ht="15.75" customHeight="1">
      <c r="A325" s="180"/>
      <c r="B325" s="181"/>
      <c r="C325" s="181"/>
      <c r="D325" s="181"/>
      <c r="E325" s="181"/>
      <c r="F325" s="181"/>
      <c r="G325" s="181"/>
      <c r="H325" s="181"/>
      <c r="I325" s="181"/>
      <c r="J325" s="181"/>
      <c r="K325" s="182"/>
      <c r="L325" s="182"/>
    </row>
    <row r="326" spans="1:12" ht="15.75" customHeight="1">
      <c r="A326" s="180"/>
      <c r="B326" s="181"/>
      <c r="C326" s="181"/>
      <c r="D326" s="181"/>
      <c r="E326" s="181"/>
      <c r="F326" s="181"/>
      <c r="G326" s="181"/>
      <c r="H326" s="181"/>
      <c r="I326" s="181"/>
      <c r="J326" s="181"/>
      <c r="K326" s="182"/>
      <c r="L326" s="182"/>
    </row>
    <row r="327" spans="1:12" ht="15.75" customHeight="1">
      <c r="A327" s="180"/>
      <c r="B327" s="181"/>
      <c r="C327" s="181"/>
      <c r="D327" s="181"/>
      <c r="E327" s="181"/>
      <c r="F327" s="181"/>
      <c r="G327" s="181"/>
      <c r="H327" s="181"/>
      <c r="I327" s="181"/>
      <c r="J327" s="181"/>
      <c r="K327" s="182"/>
      <c r="L327" s="182"/>
    </row>
    <row r="328" spans="1:12" ht="15.75" customHeight="1">
      <c r="A328" s="180"/>
      <c r="B328" s="181"/>
      <c r="C328" s="181"/>
      <c r="D328" s="181"/>
      <c r="E328" s="181"/>
      <c r="F328" s="181"/>
      <c r="G328" s="181"/>
      <c r="H328" s="181"/>
      <c r="I328" s="181"/>
      <c r="J328" s="181"/>
      <c r="K328" s="182"/>
      <c r="L328" s="182"/>
    </row>
    <row r="329" spans="1:12" ht="15.75" customHeight="1">
      <c r="A329" s="180"/>
      <c r="B329" s="181"/>
      <c r="C329" s="181"/>
      <c r="D329" s="181"/>
      <c r="E329" s="181"/>
      <c r="F329" s="181"/>
      <c r="G329" s="181"/>
      <c r="H329" s="181"/>
      <c r="I329" s="181"/>
      <c r="J329" s="181"/>
      <c r="K329" s="182"/>
      <c r="L329" s="182"/>
    </row>
    <row r="330" spans="1:12" ht="15.75" customHeight="1">
      <c r="A330" s="180"/>
      <c r="B330" s="181"/>
      <c r="C330" s="181"/>
      <c r="D330" s="181"/>
      <c r="E330" s="181"/>
      <c r="F330" s="181"/>
      <c r="G330" s="181"/>
      <c r="H330" s="181"/>
      <c r="I330" s="181"/>
      <c r="J330" s="181"/>
      <c r="K330" s="182"/>
      <c r="L330" s="182"/>
    </row>
    <row r="331" spans="1:12" ht="15.75" customHeight="1">
      <c r="A331" s="180"/>
      <c r="B331" s="181"/>
      <c r="C331" s="181"/>
      <c r="D331" s="181"/>
      <c r="E331" s="181"/>
      <c r="F331" s="181"/>
      <c r="G331" s="181"/>
      <c r="H331" s="181"/>
      <c r="I331" s="181"/>
      <c r="J331" s="181"/>
      <c r="K331" s="182"/>
      <c r="L331" s="182"/>
    </row>
    <row r="332" spans="1:12" ht="15.75" customHeight="1">
      <c r="A332" s="180"/>
      <c r="B332" s="181"/>
      <c r="C332" s="181"/>
      <c r="D332" s="181"/>
      <c r="E332" s="181"/>
      <c r="F332" s="181"/>
      <c r="G332" s="181"/>
      <c r="H332" s="181"/>
      <c r="I332" s="181"/>
      <c r="J332" s="181"/>
      <c r="K332" s="182"/>
      <c r="L332" s="182"/>
    </row>
    <row r="333" spans="1:12" ht="15.75" customHeight="1">
      <c r="A333" s="180"/>
      <c r="B333" s="181"/>
      <c r="C333" s="181"/>
      <c r="D333" s="181"/>
      <c r="E333" s="181"/>
      <c r="F333" s="181"/>
      <c r="G333" s="181"/>
      <c r="H333" s="181"/>
      <c r="I333" s="181"/>
      <c r="J333" s="181"/>
      <c r="K333" s="182"/>
      <c r="L333" s="182"/>
    </row>
    <row r="334" spans="1:12" ht="15.75" customHeight="1">
      <c r="A334" s="180"/>
      <c r="B334" s="181"/>
      <c r="C334" s="181"/>
      <c r="D334" s="181"/>
      <c r="E334" s="181"/>
      <c r="F334" s="181"/>
      <c r="G334" s="181"/>
      <c r="H334" s="181"/>
      <c r="I334" s="181"/>
      <c r="J334" s="181"/>
      <c r="K334" s="182"/>
      <c r="L334" s="182"/>
    </row>
    <row r="335" spans="1:12" ht="15.75" customHeight="1">
      <c r="A335" s="180"/>
      <c r="B335" s="181"/>
      <c r="C335" s="181"/>
      <c r="D335" s="181"/>
      <c r="E335" s="181"/>
      <c r="F335" s="181"/>
      <c r="G335" s="181"/>
      <c r="H335" s="181"/>
      <c r="I335" s="181"/>
      <c r="J335" s="181"/>
      <c r="K335" s="182"/>
      <c r="L335" s="182"/>
    </row>
    <row r="336" spans="1:12" ht="15.75" customHeight="1">
      <c r="A336" s="180"/>
      <c r="B336" s="181"/>
      <c r="C336" s="181"/>
      <c r="D336" s="181"/>
      <c r="E336" s="181"/>
      <c r="F336" s="181"/>
      <c r="G336" s="181"/>
      <c r="H336" s="181"/>
      <c r="I336" s="181"/>
      <c r="J336" s="181"/>
      <c r="K336" s="182"/>
      <c r="L336" s="182"/>
    </row>
    <row r="337" spans="1:12" ht="15.75" customHeight="1">
      <c r="A337" s="180"/>
      <c r="B337" s="181"/>
      <c r="C337" s="181"/>
      <c r="D337" s="181"/>
      <c r="E337" s="181"/>
      <c r="F337" s="181"/>
      <c r="G337" s="181"/>
      <c r="H337" s="181"/>
      <c r="I337" s="181"/>
      <c r="J337" s="181"/>
      <c r="K337" s="182"/>
      <c r="L337" s="182"/>
    </row>
    <row r="338" spans="1:12" ht="15.75" customHeight="1">
      <c r="A338" s="180"/>
      <c r="B338" s="181"/>
      <c r="C338" s="181"/>
      <c r="D338" s="181"/>
      <c r="E338" s="181"/>
      <c r="F338" s="181"/>
      <c r="G338" s="181"/>
      <c r="H338" s="181"/>
      <c r="I338" s="181"/>
      <c r="J338" s="181"/>
      <c r="K338" s="182"/>
      <c r="L338" s="182"/>
    </row>
    <row r="339" spans="1:12" ht="15.75" customHeight="1">
      <c r="A339" s="180"/>
      <c r="B339" s="181"/>
      <c r="C339" s="181"/>
      <c r="D339" s="181"/>
      <c r="E339" s="181"/>
      <c r="F339" s="181"/>
      <c r="G339" s="181"/>
      <c r="H339" s="181"/>
      <c r="I339" s="181"/>
      <c r="J339" s="181"/>
      <c r="K339" s="182"/>
      <c r="L339" s="182"/>
    </row>
    <row r="340" spans="1:12" ht="15.75" customHeight="1">
      <c r="A340" s="180"/>
      <c r="B340" s="181"/>
      <c r="C340" s="181"/>
      <c r="D340" s="181"/>
      <c r="E340" s="181"/>
      <c r="F340" s="181"/>
      <c r="G340" s="181"/>
      <c r="H340" s="181"/>
      <c r="I340" s="181"/>
      <c r="J340" s="181"/>
      <c r="K340" s="182"/>
      <c r="L340" s="182"/>
    </row>
    <row r="341" spans="1:12" ht="15.75" customHeight="1">
      <c r="A341" s="180"/>
      <c r="B341" s="181"/>
      <c r="C341" s="181"/>
      <c r="D341" s="181"/>
      <c r="E341" s="181"/>
      <c r="F341" s="181"/>
      <c r="G341" s="181"/>
      <c r="H341" s="181"/>
      <c r="I341" s="181"/>
      <c r="J341" s="181"/>
      <c r="K341" s="182"/>
      <c r="L341" s="182"/>
    </row>
    <row r="342" spans="1:12" ht="15.75" customHeight="1">
      <c r="A342" s="180"/>
      <c r="B342" s="181"/>
      <c r="C342" s="181"/>
      <c r="D342" s="181"/>
      <c r="E342" s="181"/>
      <c r="F342" s="181"/>
      <c r="G342" s="181"/>
      <c r="H342" s="181"/>
      <c r="I342" s="181"/>
      <c r="J342" s="181"/>
      <c r="K342" s="182"/>
      <c r="L342" s="182"/>
    </row>
    <row r="343" spans="1:12" ht="15.75" customHeight="1">
      <c r="A343" s="180"/>
      <c r="B343" s="181"/>
      <c r="C343" s="181"/>
      <c r="D343" s="181"/>
      <c r="E343" s="181"/>
      <c r="F343" s="181"/>
      <c r="G343" s="181"/>
      <c r="H343" s="181"/>
      <c r="I343" s="181"/>
      <c r="J343" s="181"/>
      <c r="K343" s="182"/>
      <c r="L343" s="182"/>
    </row>
    <row r="344" spans="1:12" ht="15.75" customHeight="1">
      <c r="A344" s="180"/>
      <c r="B344" s="181"/>
      <c r="C344" s="181"/>
      <c r="D344" s="181"/>
      <c r="E344" s="181"/>
      <c r="F344" s="181"/>
      <c r="G344" s="181"/>
      <c r="H344" s="181"/>
      <c r="I344" s="181"/>
      <c r="J344" s="181"/>
      <c r="K344" s="182"/>
      <c r="L344" s="182"/>
    </row>
    <row r="345" spans="1:12" ht="15.75" customHeight="1">
      <c r="A345" s="180"/>
      <c r="B345" s="181"/>
      <c r="C345" s="181"/>
      <c r="D345" s="181"/>
      <c r="E345" s="181"/>
      <c r="F345" s="181"/>
      <c r="G345" s="181"/>
      <c r="H345" s="181"/>
      <c r="I345" s="181"/>
      <c r="J345" s="181"/>
      <c r="K345" s="182"/>
      <c r="L345" s="182"/>
    </row>
    <row r="346" spans="1:12" ht="15.75" customHeight="1">
      <c r="A346" s="180"/>
      <c r="B346" s="181"/>
      <c r="C346" s="181"/>
      <c r="D346" s="181"/>
      <c r="E346" s="181"/>
      <c r="F346" s="181"/>
      <c r="G346" s="181"/>
      <c r="H346" s="181"/>
      <c r="I346" s="181"/>
      <c r="J346" s="181"/>
      <c r="K346" s="182"/>
      <c r="L346" s="182"/>
    </row>
    <row r="347" spans="1:12" ht="15.75" customHeight="1">
      <c r="A347" s="180"/>
      <c r="B347" s="181"/>
      <c r="C347" s="181"/>
      <c r="D347" s="181"/>
      <c r="E347" s="181"/>
      <c r="F347" s="181"/>
      <c r="G347" s="181"/>
      <c r="H347" s="181"/>
      <c r="I347" s="181"/>
      <c r="J347" s="181"/>
      <c r="K347" s="182"/>
      <c r="L347" s="182"/>
    </row>
    <row r="348" spans="1:12" ht="15.75" customHeight="1">
      <c r="A348" s="180"/>
      <c r="B348" s="181"/>
      <c r="C348" s="181"/>
      <c r="D348" s="181"/>
      <c r="E348" s="181"/>
      <c r="F348" s="181"/>
      <c r="G348" s="181"/>
      <c r="H348" s="181"/>
      <c r="I348" s="181"/>
      <c r="J348" s="181"/>
      <c r="K348" s="182"/>
      <c r="L348" s="182"/>
    </row>
    <row r="349" spans="1:12" ht="15.75" customHeight="1">
      <c r="A349" s="180"/>
      <c r="B349" s="181"/>
      <c r="C349" s="181"/>
      <c r="D349" s="181"/>
      <c r="E349" s="181"/>
      <c r="F349" s="181"/>
      <c r="G349" s="181"/>
      <c r="H349" s="181"/>
      <c r="I349" s="181"/>
      <c r="J349" s="181"/>
      <c r="K349" s="182"/>
      <c r="L349" s="182"/>
    </row>
    <row r="350" spans="1:12" ht="15.75" customHeight="1">
      <c r="A350" s="180"/>
      <c r="B350" s="181"/>
      <c r="C350" s="181"/>
      <c r="D350" s="181"/>
      <c r="E350" s="181"/>
      <c r="F350" s="181"/>
      <c r="G350" s="181"/>
      <c r="H350" s="181"/>
      <c r="I350" s="181"/>
      <c r="J350" s="181"/>
      <c r="K350" s="182"/>
      <c r="L350" s="182"/>
    </row>
    <row r="351" spans="1:12" ht="15.75" customHeight="1">
      <c r="A351" s="180"/>
      <c r="B351" s="181"/>
      <c r="C351" s="181"/>
      <c r="D351" s="181"/>
      <c r="E351" s="181"/>
      <c r="F351" s="181"/>
      <c r="G351" s="181"/>
      <c r="H351" s="181"/>
      <c r="I351" s="181"/>
      <c r="J351" s="181"/>
      <c r="K351" s="182"/>
      <c r="L351" s="182"/>
    </row>
    <row r="352" spans="1:12" ht="15.75" customHeight="1">
      <c r="A352" s="180"/>
      <c r="B352" s="181"/>
      <c r="C352" s="181"/>
      <c r="D352" s="181"/>
      <c r="E352" s="181"/>
      <c r="F352" s="181"/>
      <c r="G352" s="181"/>
      <c r="H352" s="181"/>
      <c r="I352" s="181"/>
      <c r="J352" s="181"/>
      <c r="K352" s="182"/>
      <c r="L352" s="182"/>
    </row>
    <row r="353" spans="1:12" ht="15.75" customHeight="1">
      <c r="A353" s="180"/>
      <c r="B353" s="181"/>
      <c r="C353" s="181"/>
      <c r="D353" s="181"/>
      <c r="E353" s="181"/>
      <c r="F353" s="181"/>
      <c r="G353" s="181"/>
      <c r="H353" s="181"/>
      <c r="I353" s="181"/>
      <c r="J353" s="181"/>
      <c r="K353" s="182"/>
      <c r="L353" s="182"/>
    </row>
    <row r="354" spans="1:12" ht="15.75" customHeight="1">
      <c r="A354" s="180"/>
      <c r="B354" s="181"/>
      <c r="C354" s="181"/>
      <c r="D354" s="181"/>
      <c r="E354" s="181"/>
      <c r="F354" s="181"/>
      <c r="G354" s="181"/>
      <c r="H354" s="181"/>
      <c r="I354" s="181"/>
      <c r="J354" s="181"/>
      <c r="K354" s="182"/>
      <c r="L354" s="182"/>
    </row>
    <row r="355" spans="1:12" ht="15.75" customHeight="1">
      <c r="A355" s="180"/>
      <c r="B355" s="181"/>
      <c r="C355" s="181"/>
      <c r="D355" s="181"/>
      <c r="E355" s="181"/>
      <c r="F355" s="181"/>
      <c r="G355" s="181"/>
      <c r="H355" s="181"/>
      <c r="I355" s="181"/>
      <c r="J355" s="181"/>
      <c r="K355" s="182"/>
      <c r="L355" s="182"/>
    </row>
    <row r="356" spans="1:12" ht="15.75" customHeight="1">
      <c r="A356" s="180"/>
      <c r="B356" s="181"/>
      <c r="C356" s="181"/>
      <c r="D356" s="181"/>
      <c r="E356" s="181"/>
      <c r="F356" s="181"/>
      <c r="G356" s="181"/>
      <c r="H356" s="181"/>
      <c r="I356" s="181"/>
      <c r="J356" s="181"/>
      <c r="K356" s="182"/>
      <c r="L356" s="182"/>
    </row>
    <row r="357" spans="1:12" ht="15.75" customHeight="1">
      <c r="A357" s="180"/>
      <c r="B357" s="181"/>
      <c r="C357" s="181"/>
      <c r="D357" s="181"/>
      <c r="E357" s="181"/>
      <c r="F357" s="181"/>
      <c r="G357" s="181"/>
      <c r="H357" s="181"/>
      <c r="I357" s="181"/>
      <c r="J357" s="181"/>
      <c r="K357" s="182"/>
      <c r="L357" s="182"/>
    </row>
    <row r="358" spans="1:12" ht="15.75" customHeight="1">
      <c r="A358" s="180"/>
      <c r="B358" s="181"/>
      <c r="C358" s="181"/>
      <c r="D358" s="181"/>
      <c r="E358" s="181"/>
      <c r="F358" s="181"/>
      <c r="G358" s="181"/>
      <c r="H358" s="181"/>
      <c r="I358" s="181"/>
      <c r="J358" s="181"/>
      <c r="K358" s="182"/>
      <c r="L358" s="182"/>
    </row>
    <row r="359" spans="1:12" ht="15.75" customHeight="1">
      <c r="A359" s="180"/>
      <c r="B359" s="181"/>
      <c r="C359" s="181"/>
      <c r="D359" s="181"/>
      <c r="E359" s="181"/>
      <c r="F359" s="181"/>
      <c r="G359" s="181"/>
      <c r="H359" s="181"/>
      <c r="I359" s="181"/>
      <c r="J359" s="181"/>
      <c r="K359" s="182"/>
      <c r="L359" s="182"/>
    </row>
    <row r="360" spans="1:12" ht="15.75" customHeight="1">
      <c r="A360" s="180"/>
      <c r="B360" s="181"/>
      <c r="C360" s="181"/>
      <c r="D360" s="181"/>
      <c r="E360" s="181"/>
      <c r="F360" s="181"/>
      <c r="G360" s="181"/>
      <c r="H360" s="181"/>
      <c r="I360" s="181"/>
      <c r="J360" s="181"/>
      <c r="K360" s="182"/>
      <c r="L360" s="182"/>
    </row>
    <row r="361" spans="1:12" ht="15.75" customHeight="1">
      <c r="A361" s="180"/>
      <c r="B361" s="181"/>
      <c r="C361" s="181"/>
      <c r="D361" s="181"/>
      <c r="E361" s="181"/>
      <c r="F361" s="181"/>
      <c r="G361" s="181"/>
      <c r="H361" s="181"/>
      <c r="I361" s="181"/>
      <c r="J361" s="181"/>
      <c r="K361" s="182"/>
      <c r="L361" s="182"/>
    </row>
    <row r="362" spans="1:12" ht="15.75" customHeight="1">
      <c r="A362" s="180"/>
      <c r="B362" s="181"/>
      <c r="C362" s="181"/>
      <c r="D362" s="181"/>
      <c r="E362" s="181"/>
      <c r="F362" s="181"/>
      <c r="G362" s="181"/>
      <c r="H362" s="181"/>
      <c r="I362" s="181"/>
      <c r="J362" s="181"/>
      <c r="K362" s="182"/>
      <c r="L362" s="182"/>
    </row>
    <row r="363" spans="1:12" ht="15.75" customHeight="1">
      <c r="A363" s="180"/>
      <c r="B363" s="181"/>
      <c r="C363" s="181"/>
      <c r="D363" s="181"/>
      <c r="E363" s="181"/>
      <c r="F363" s="181"/>
      <c r="G363" s="181"/>
      <c r="H363" s="181"/>
      <c r="I363" s="181"/>
      <c r="J363" s="181"/>
      <c r="K363" s="182"/>
      <c r="L363" s="182"/>
    </row>
    <row r="364" spans="1:12" ht="15.75" customHeight="1">
      <c r="A364" s="180"/>
      <c r="B364" s="181"/>
      <c r="C364" s="181"/>
      <c r="D364" s="181"/>
      <c r="E364" s="181"/>
      <c r="F364" s="181"/>
      <c r="G364" s="181"/>
      <c r="H364" s="181"/>
      <c r="I364" s="181"/>
      <c r="J364" s="181"/>
      <c r="K364" s="182"/>
      <c r="L364" s="182"/>
    </row>
    <row r="365" spans="1:12" ht="15.75" customHeight="1">
      <c r="A365" s="180"/>
      <c r="B365" s="181"/>
      <c r="C365" s="181"/>
      <c r="D365" s="181"/>
      <c r="E365" s="181"/>
      <c r="F365" s="181"/>
      <c r="G365" s="181"/>
      <c r="H365" s="181"/>
      <c r="I365" s="181"/>
      <c r="J365" s="181"/>
      <c r="K365" s="182"/>
      <c r="L365" s="182"/>
    </row>
    <row r="366" spans="1:12" ht="15.75" customHeight="1">
      <c r="A366" s="180"/>
      <c r="B366" s="181"/>
      <c r="C366" s="181"/>
      <c r="D366" s="181"/>
      <c r="E366" s="181"/>
      <c r="F366" s="181"/>
      <c r="G366" s="181"/>
      <c r="H366" s="181"/>
      <c r="I366" s="181"/>
      <c r="J366" s="181"/>
      <c r="K366" s="182"/>
      <c r="L366" s="182"/>
    </row>
    <row r="367" spans="1:12" ht="15.75" customHeight="1">
      <c r="A367" s="180"/>
      <c r="B367" s="181"/>
      <c r="C367" s="181"/>
      <c r="D367" s="181"/>
      <c r="E367" s="181"/>
      <c r="F367" s="181"/>
      <c r="G367" s="181"/>
      <c r="H367" s="181"/>
      <c r="I367" s="181"/>
      <c r="J367" s="181"/>
      <c r="K367" s="182"/>
      <c r="L367" s="182"/>
    </row>
    <row r="368" spans="1:12" ht="15.75" customHeight="1">
      <c r="A368" s="180"/>
      <c r="B368" s="181"/>
      <c r="C368" s="181"/>
      <c r="D368" s="181"/>
      <c r="E368" s="181"/>
      <c r="F368" s="181"/>
      <c r="G368" s="181"/>
      <c r="H368" s="181"/>
      <c r="I368" s="181"/>
      <c r="J368" s="181"/>
      <c r="K368" s="182"/>
      <c r="L368" s="182"/>
    </row>
    <row r="369" spans="1:12" ht="15.75" customHeight="1">
      <c r="A369" s="180"/>
      <c r="B369" s="181"/>
      <c r="C369" s="181"/>
      <c r="D369" s="181"/>
      <c r="E369" s="181"/>
      <c r="F369" s="181"/>
      <c r="G369" s="181"/>
      <c r="H369" s="181"/>
      <c r="I369" s="181"/>
      <c r="J369" s="181"/>
      <c r="K369" s="182"/>
      <c r="L369" s="182"/>
    </row>
    <row r="370" spans="1:12" ht="15.75" customHeight="1">
      <c r="A370" s="180"/>
      <c r="B370" s="181"/>
      <c r="C370" s="181"/>
      <c r="D370" s="181"/>
      <c r="E370" s="181"/>
      <c r="F370" s="181"/>
      <c r="G370" s="181"/>
      <c r="H370" s="181"/>
      <c r="I370" s="181"/>
      <c r="J370" s="181"/>
      <c r="K370" s="182"/>
      <c r="L370" s="182"/>
    </row>
    <row r="371" spans="1:12" ht="15.75" customHeight="1">
      <c r="A371" s="180"/>
      <c r="B371" s="181"/>
      <c r="C371" s="181"/>
      <c r="D371" s="181"/>
      <c r="E371" s="181"/>
      <c r="F371" s="181"/>
      <c r="G371" s="181"/>
      <c r="H371" s="181"/>
      <c r="I371" s="181"/>
      <c r="J371" s="181"/>
      <c r="K371" s="182"/>
      <c r="L371" s="182"/>
    </row>
    <row r="372" spans="1:12" ht="15.75" customHeight="1">
      <c r="A372" s="180"/>
      <c r="B372" s="181"/>
      <c r="C372" s="181"/>
      <c r="D372" s="181"/>
      <c r="E372" s="181"/>
      <c r="F372" s="181"/>
      <c r="G372" s="181"/>
      <c r="H372" s="181"/>
      <c r="I372" s="181"/>
      <c r="J372" s="181"/>
      <c r="K372" s="182"/>
      <c r="L372" s="182"/>
    </row>
    <row r="373" spans="1:12" ht="15.75" customHeight="1">
      <c r="A373" s="180"/>
      <c r="B373" s="181"/>
      <c r="C373" s="181"/>
      <c r="D373" s="181"/>
      <c r="E373" s="181"/>
      <c r="F373" s="181"/>
      <c r="G373" s="181"/>
      <c r="H373" s="181"/>
      <c r="I373" s="181"/>
      <c r="J373" s="181"/>
      <c r="K373" s="182"/>
      <c r="L373" s="182"/>
    </row>
    <row r="374" spans="1:12" ht="15.75" customHeight="1">
      <c r="A374" s="180"/>
      <c r="B374" s="181"/>
      <c r="C374" s="181"/>
      <c r="D374" s="181"/>
      <c r="E374" s="181"/>
      <c r="F374" s="181"/>
      <c r="G374" s="181"/>
      <c r="H374" s="181"/>
      <c r="I374" s="181"/>
      <c r="J374" s="181"/>
      <c r="K374" s="182"/>
      <c r="L374" s="182"/>
    </row>
    <row r="375" spans="1:12" ht="15.75" customHeight="1">
      <c r="A375" s="180"/>
      <c r="B375" s="181"/>
      <c r="C375" s="181"/>
      <c r="D375" s="181"/>
      <c r="E375" s="181"/>
      <c r="F375" s="181"/>
      <c r="G375" s="181"/>
      <c r="H375" s="181"/>
      <c r="I375" s="181"/>
      <c r="J375" s="181"/>
      <c r="K375" s="182"/>
      <c r="L375" s="182"/>
    </row>
    <row r="376" spans="1:12" ht="15.75" customHeight="1">
      <c r="A376" s="180"/>
      <c r="B376" s="181"/>
      <c r="C376" s="181"/>
      <c r="D376" s="181"/>
      <c r="E376" s="181"/>
      <c r="F376" s="181"/>
      <c r="G376" s="181"/>
      <c r="H376" s="181"/>
      <c r="I376" s="181"/>
      <c r="J376" s="181"/>
      <c r="K376" s="182"/>
      <c r="L376" s="182"/>
    </row>
    <row r="377" spans="1:12" ht="15.75" customHeight="1">
      <c r="A377" s="180"/>
      <c r="B377" s="181"/>
      <c r="C377" s="181"/>
      <c r="D377" s="181"/>
      <c r="E377" s="181"/>
      <c r="F377" s="181"/>
      <c r="G377" s="181"/>
      <c r="H377" s="181"/>
      <c r="I377" s="181"/>
      <c r="J377" s="181"/>
      <c r="K377" s="182"/>
      <c r="L377" s="182"/>
    </row>
    <row r="378" spans="1:12" ht="15.75" customHeight="1">
      <c r="A378" s="180"/>
      <c r="B378" s="181"/>
      <c r="C378" s="181"/>
      <c r="D378" s="181"/>
      <c r="E378" s="181"/>
      <c r="F378" s="181"/>
      <c r="G378" s="181"/>
      <c r="H378" s="181"/>
      <c r="I378" s="181"/>
      <c r="J378" s="181"/>
      <c r="K378" s="182"/>
      <c r="L378" s="182"/>
    </row>
    <row r="379" spans="1:12" ht="15.75" customHeight="1">
      <c r="A379" s="180"/>
      <c r="B379" s="181"/>
      <c r="C379" s="181"/>
      <c r="D379" s="181"/>
      <c r="E379" s="181"/>
      <c r="F379" s="181"/>
      <c r="G379" s="181"/>
      <c r="H379" s="181"/>
      <c r="I379" s="181"/>
      <c r="J379" s="181"/>
      <c r="K379" s="182"/>
      <c r="L379" s="182"/>
    </row>
    <row r="380" spans="1:12" ht="15.75" customHeight="1">
      <c r="A380" s="180"/>
      <c r="B380" s="181"/>
      <c r="C380" s="181"/>
      <c r="D380" s="181"/>
      <c r="E380" s="181"/>
      <c r="F380" s="181"/>
      <c r="G380" s="181"/>
      <c r="H380" s="181"/>
      <c r="I380" s="181"/>
      <c r="J380" s="181"/>
      <c r="K380" s="182"/>
      <c r="L380" s="182"/>
    </row>
    <row r="381" spans="1:12" ht="15.75" customHeight="1">
      <c r="A381" s="180"/>
      <c r="B381" s="181"/>
      <c r="C381" s="181"/>
      <c r="D381" s="181"/>
      <c r="E381" s="181"/>
      <c r="F381" s="181"/>
      <c r="G381" s="181"/>
      <c r="H381" s="181"/>
      <c r="I381" s="181"/>
      <c r="J381" s="181"/>
      <c r="K381" s="182"/>
      <c r="L381" s="182"/>
    </row>
    <row r="382" spans="1:12" ht="15.75" customHeight="1">
      <c r="A382" s="180"/>
      <c r="B382" s="181"/>
      <c r="C382" s="181"/>
      <c r="D382" s="181"/>
      <c r="E382" s="181"/>
      <c r="F382" s="181"/>
      <c r="G382" s="181"/>
      <c r="H382" s="181"/>
      <c r="I382" s="181"/>
      <c r="J382" s="181"/>
      <c r="K382" s="182"/>
      <c r="L382" s="182"/>
    </row>
    <row r="383" spans="1:12" ht="15.75" customHeight="1">
      <c r="A383" s="180"/>
      <c r="B383" s="181"/>
      <c r="C383" s="181"/>
      <c r="D383" s="181"/>
      <c r="E383" s="181"/>
      <c r="F383" s="181"/>
      <c r="G383" s="181"/>
      <c r="H383" s="181"/>
      <c r="I383" s="181"/>
      <c r="J383" s="181"/>
      <c r="K383" s="182"/>
      <c r="L383" s="182"/>
    </row>
    <row r="384" spans="1:12" ht="15.75" customHeight="1">
      <c r="A384" s="180"/>
      <c r="B384" s="181"/>
      <c r="C384" s="181"/>
      <c r="D384" s="181"/>
      <c r="E384" s="181"/>
      <c r="F384" s="181"/>
      <c r="G384" s="181"/>
      <c r="H384" s="181"/>
      <c r="I384" s="181"/>
      <c r="J384" s="181"/>
      <c r="K384" s="182"/>
      <c r="L384" s="182"/>
    </row>
    <row r="385" spans="1:12" ht="15.75" customHeight="1">
      <c r="A385" s="180"/>
      <c r="B385" s="181"/>
      <c r="C385" s="181"/>
      <c r="D385" s="181"/>
      <c r="E385" s="181"/>
      <c r="F385" s="181"/>
      <c r="G385" s="181"/>
      <c r="H385" s="181"/>
      <c r="I385" s="181"/>
      <c r="J385" s="181"/>
      <c r="K385" s="182"/>
      <c r="L385" s="182"/>
    </row>
    <row r="386" spans="1:12" ht="15.75" customHeight="1">
      <c r="A386" s="180"/>
      <c r="B386" s="181"/>
      <c r="C386" s="181"/>
      <c r="D386" s="181"/>
      <c r="E386" s="181"/>
      <c r="F386" s="181"/>
      <c r="G386" s="181"/>
      <c r="H386" s="181"/>
      <c r="I386" s="181"/>
      <c r="J386" s="181"/>
      <c r="K386" s="182"/>
      <c r="L386" s="182"/>
    </row>
    <row r="387" spans="1:12" ht="15.75" customHeight="1">
      <c r="A387" s="180"/>
      <c r="B387" s="181"/>
      <c r="C387" s="181"/>
      <c r="D387" s="181"/>
      <c r="E387" s="181"/>
      <c r="F387" s="181"/>
      <c r="G387" s="181"/>
      <c r="H387" s="181"/>
      <c r="I387" s="181"/>
      <c r="J387" s="181"/>
      <c r="K387" s="182"/>
      <c r="L387" s="182"/>
    </row>
    <row r="388" spans="1:12" ht="15.75" customHeight="1">
      <c r="A388" s="180"/>
      <c r="B388" s="181"/>
      <c r="C388" s="181"/>
      <c r="D388" s="181"/>
      <c r="E388" s="181"/>
      <c r="F388" s="181"/>
      <c r="G388" s="181"/>
      <c r="H388" s="181"/>
      <c r="I388" s="181"/>
      <c r="J388" s="181"/>
      <c r="K388" s="182"/>
      <c r="L388" s="182"/>
    </row>
    <row r="389" spans="1:12" ht="15.75" customHeight="1">
      <c r="A389" s="180"/>
      <c r="B389" s="181"/>
      <c r="C389" s="181"/>
      <c r="D389" s="181"/>
      <c r="E389" s="181"/>
      <c r="F389" s="181"/>
      <c r="G389" s="181"/>
      <c r="H389" s="181"/>
      <c r="I389" s="181"/>
      <c r="J389" s="181"/>
      <c r="K389" s="182"/>
      <c r="L389" s="182"/>
    </row>
    <row r="390" spans="1:12" ht="15.75" customHeight="1">
      <c r="A390" s="180"/>
      <c r="B390" s="181"/>
      <c r="C390" s="181"/>
      <c r="D390" s="181"/>
      <c r="E390" s="181"/>
      <c r="F390" s="181"/>
      <c r="G390" s="181"/>
      <c r="H390" s="181"/>
      <c r="I390" s="181"/>
      <c r="J390" s="181"/>
      <c r="K390" s="182"/>
      <c r="L390" s="182"/>
    </row>
    <row r="391" spans="1:12" ht="15.75" customHeight="1">
      <c r="A391" s="180"/>
      <c r="B391" s="181"/>
      <c r="C391" s="181"/>
      <c r="D391" s="181"/>
      <c r="E391" s="181"/>
      <c r="F391" s="181"/>
      <c r="G391" s="181"/>
      <c r="H391" s="181"/>
      <c r="I391" s="181"/>
      <c r="J391" s="181"/>
      <c r="K391" s="182"/>
      <c r="L391" s="182"/>
    </row>
    <row r="392" spans="1:12" ht="15.75" customHeight="1">
      <c r="A392" s="180"/>
      <c r="B392" s="181"/>
      <c r="C392" s="181"/>
      <c r="D392" s="181"/>
      <c r="E392" s="181"/>
      <c r="F392" s="181"/>
      <c r="G392" s="181"/>
      <c r="H392" s="181"/>
      <c r="I392" s="181"/>
      <c r="J392" s="181"/>
      <c r="K392" s="182"/>
      <c r="L392" s="182"/>
    </row>
    <row r="393" spans="1:12" ht="15.75" customHeight="1">
      <c r="A393" s="180"/>
      <c r="B393" s="181"/>
      <c r="C393" s="181"/>
      <c r="D393" s="181"/>
      <c r="E393" s="181"/>
      <c r="F393" s="181"/>
      <c r="G393" s="181"/>
      <c r="H393" s="181"/>
      <c r="I393" s="181"/>
      <c r="J393" s="181"/>
      <c r="K393" s="182"/>
      <c r="L393" s="182"/>
    </row>
    <row r="394" spans="1:12" ht="15.75" customHeight="1">
      <c r="A394" s="180"/>
      <c r="B394" s="181"/>
      <c r="C394" s="181"/>
      <c r="D394" s="181"/>
      <c r="E394" s="181"/>
      <c r="F394" s="181"/>
      <c r="G394" s="181"/>
      <c r="H394" s="181"/>
      <c r="I394" s="181"/>
      <c r="J394" s="181"/>
      <c r="K394" s="182"/>
      <c r="L394" s="182"/>
    </row>
    <row r="395" spans="1:12" ht="15.75" customHeight="1">
      <c r="A395" s="180"/>
      <c r="B395" s="181"/>
      <c r="C395" s="181"/>
      <c r="D395" s="181"/>
      <c r="E395" s="181"/>
      <c r="F395" s="181"/>
      <c r="G395" s="181"/>
      <c r="H395" s="181"/>
      <c r="I395" s="181"/>
      <c r="J395" s="181"/>
      <c r="K395" s="182"/>
      <c r="L395" s="182"/>
    </row>
    <row r="396" spans="1:12" ht="15.75" customHeight="1">
      <c r="A396" s="180"/>
      <c r="B396" s="181"/>
      <c r="C396" s="181"/>
      <c r="D396" s="181"/>
      <c r="E396" s="181"/>
      <c r="F396" s="181"/>
      <c r="G396" s="181"/>
      <c r="H396" s="181"/>
      <c r="I396" s="181"/>
      <c r="J396" s="181"/>
      <c r="K396" s="182"/>
      <c r="L396" s="182"/>
    </row>
    <row r="397" spans="1:12" ht="15.75" customHeight="1">
      <c r="A397" s="180"/>
      <c r="B397" s="181"/>
      <c r="C397" s="181"/>
      <c r="D397" s="181"/>
      <c r="E397" s="181"/>
      <c r="F397" s="181"/>
      <c r="G397" s="181"/>
      <c r="H397" s="181"/>
      <c r="I397" s="181"/>
      <c r="J397" s="181"/>
      <c r="K397" s="182"/>
      <c r="L397" s="182"/>
    </row>
    <row r="398" spans="1:12" ht="15.75" customHeight="1">
      <c r="A398" s="180"/>
      <c r="B398" s="181"/>
      <c r="C398" s="181"/>
      <c r="D398" s="181"/>
      <c r="E398" s="181"/>
      <c r="F398" s="181"/>
      <c r="G398" s="181"/>
      <c r="H398" s="181"/>
      <c r="I398" s="181"/>
      <c r="J398" s="181"/>
      <c r="K398" s="182"/>
      <c r="L398" s="182"/>
    </row>
    <row r="399" spans="1:12" ht="15.75" customHeight="1">
      <c r="A399" s="180"/>
      <c r="B399" s="181"/>
      <c r="C399" s="181"/>
      <c r="D399" s="181"/>
      <c r="E399" s="181"/>
      <c r="F399" s="181"/>
      <c r="G399" s="181"/>
      <c r="H399" s="181"/>
      <c r="I399" s="181"/>
      <c r="J399" s="181"/>
      <c r="K399" s="182"/>
      <c r="L399" s="182"/>
    </row>
    <row r="400" spans="1:12" ht="15.75" customHeight="1">
      <c r="A400" s="180"/>
      <c r="B400" s="181"/>
      <c r="C400" s="181"/>
      <c r="D400" s="181"/>
      <c r="E400" s="181"/>
      <c r="F400" s="181"/>
      <c r="G400" s="181"/>
      <c r="H400" s="181"/>
      <c r="I400" s="181"/>
      <c r="J400" s="181"/>
      <c r="K400" s="182"/>
      <c r="L400" s="182"/>
    </row>
    <row r="401" spans="1:12" ht="15.75" customHeight="1">
      <c r="A401" s="180"/>
      <c r="B401" s="181"/>
      <c r="C401" s="181"/>
      <c r="D401" s="181"/>
      <c r="E401" s="181"/>
      <c r="F401" s="181"/>
      <c r="G401" s="181"/>
      <c r="H401" s="181"/>
      <c r="I401" s="181"/>
      <c r="J401" s="181"/>
      <c r="K401" s="182"/>
      <c r="L401" s="182"/>
    </row>
    <row r="402" spans="1:12" ht="15.75" customHeight="1">
      <c r="A402" s="180"/>
      <c r="B402" s="181"/>
      <c r="C402" s="181"/>
      <c r="D402" s="181"/>
      <c r="E402" s="181"/>
      <c r="F402" s="181"/>
      <c r="G402" s="181"/>
      <c r="H402" s="181"/>
      <c r="I402" s="181"/>
      <c r="J402" s="181"/>
      <c r="K402" s="182"/>
      <c r="L402" s="182"/>
    </row>
    <row r="403" spans="1:12" ht="15.75" customHeight="1">
      <c r="A403" s="180"/>
      <c r="B403" s="181"/>
      <c r="C403" s="181"/>
      <c r="D403" s="181"/>
      <c r="E403" s="181"/>
      <c r="F403" s="181"/>
      <c r="G403" s="181"/>
      <c r="H403" s="181"/>
      <c r="I403" s="181"/>
      <c r="J403" s="181"/>
      <c r="K403" s="182"/>
      <c r="L403" s="182"/>
    </row>
    <row r="404" spans="1:12" ht="15.75" customHeight="1">
      <c r="A404" s="180"/>
      <c r="B404" s="181"/>
      <c r="C404" s="181"/>
      <c r="D404" s="181"/>
      <c r="E404" s="181"/>
      <c r="F404" s="181"/>
      <c r="G404" s="181"/>
      <c r="H404" s="181"/>
      <c r="I404" s="181"/>
      <c r="J404" s="181"/>
      <c r="K404" s="182"/>
      <c r="L404" s="182"/>
    </row>
    <row r="405" spans="1:12" ht="15.75" customHeight="1">
      <c r="A405" s="180"/>
      <c r="B405" s="181"/>
      <c r="C405" s="181"/>
      <c r="D405" s="181"/>
      <c r="E405" s="181"/>
      <c r="F405" s="181"/>
      <c r="G405" s="181"/>
      <c r="H405" s="181"/>
      <c r="I405" s="181"/>
      <c r="J405" s="181"/>
      <c r="K405" s="182"/>
      <c r="L405" s="182"/>
    </row>
    <row r="406" spans="1:12" ht="15.75" customHeight="1">
      <c r="A406" s="180"/>
      <c r="B406" s="181"/>
      <c r="C406" s="181"/>
      <c r="D406" s="181"/>
      <c r="E406" s="181"/>
      <c r="F406" s="181"/>
      <c r="G406" s="181"/>
      <c r="H406" s="181"/>
      <c r="I406" s="181"/>
      <c r="J406" s="181"/>
      <c r="K406" s="182"/>
      <c r="L406" s="182"/>
    </row>
    <row r="407" spans="1:12" ht="15.75" customHeight="1">
      <c r="A407" s="180"/>
      <c r="B407" s="181"/>
      <c r="C407" s="181"/>
      <c r="D407" s="181"/>
      <c r="E407" s="181"/>
      <c r="F407" s="181"/>
      <c r="G407" s="181"/>
      <c r="H407" s="181"/>
      <c r="I407" s="181"/>
      <c r="J407" s="181"/>
      <c r="K407" s="182"/>
      <c r="L407" s="182"/>
    </row>
    <row r="408" spans="1:12" ht="15.75" customHeight="1">
      <c r="A408" s="180"/>
      <c r="B408" s="181"/>
      <c r="C408" s="181"/>
      <c r="D408" s="181"/>
      <c r="E408" s="181"/>
      <c r="F408" s="181"/>
      <c r="G408" s="181"/>
      <c r="H408" s="181"/>
      <c r="I408" s="181"/>
      <c r="J408" s="181"/>
      <c r="K408" s="182"/>
      <c r="L408" s="182"/>
    </row>
    <row r="409" spans="1:12" ht="15.75" customHeight="1">
      <c r="A409" s="180"/>
      <c r="B409" s="181"/>
      <c r="C409" s="181"/>
      <c r="D409" s="181"/>
      <c r="E409" s="181"/>
      <c r="F409" s="181"/>
      <c r="G409" s="181"/>
      <c r="H409" s="181"/>
      <c r="I409" s="181"/>
      <c r="J409" s="181"/>
      <c r="K409" s="182"/>
      <c r="L409" s="182"/>
    </row>
    <row r="410" spans="1:12" ht="15.75" customHeight="1">
      <c r="A410" s="180"/>
      <c r="B410" s="181"/>
      <c r="C410" s="181"/>
      <c r="D410" s="181"/>
      <c r="E410" s="181"/>
      <c r="F410" s="181"/>
      <c r="G410" s="181"/>
      <c r="H410" s="181"/>
      <c r="I410" s="181"/>
      <c r="J410" s="181"/>
      <c r="K410" s="182"/>
      <c r="L410" s="182"/>
    </row>
    <row r="411" spans="1:12" ht="15.75" customHeight="1">
      <c r="A411" s="180"/>
      <c r="B411" s="181"/>
      <c r="C411" s="181"/>
      <c r="D411" s="181"/>
      <c r="E411" s="181"/>
      <c r="F411" s="181"/>
      <c r="G411" s="181"/>
      <c r="H411" s="181"/>
      <c r="I411" s="181"/>
      <c r="J411" s="181"/>
      <c r="K411" s="182"/>
      <c r="L411" s="182"/>
    </row>
    <row r="412" spans="1:12" ht="15.75" customHeight="1">
      <c r="A412" s="180"/>
      <c r="B412" s="181"/>
      <c r="C412" s="181"/>
      <c r="D412" s="181"/>
      <c r="E412" s="181"/>
      <c r="F412" s="181"/>
      <c r="G412" s="181"/>
      <c r="H412" s="181"/>
      <c r="I412" s="181"/>
      <c r="J412" s="181"/>
      <c r="K412" s="182"/>
      <c r="L412" s="182"/>
    </row>
    <row r="413" spans="1:12" ht="15.75" customHeight="1">
      <c r="A413" s="180"/>
      <c r="B413" s="181"/>
      <c r="C413" s="181"/>
      <c r="D413" s="181"/>
      <c r="E413" s="181"/>
      <c r="F413" s="181"/>
      <c r="G413" s="181"/>
      <c r="H413" s="181"/>
      <c r="I413" s="181"/>
      <c r="J413" s="181"/>
      <c r="K413" s="182"/>
      <c r="L413" s="182"/>
    </row>
    <row r="414" spans="1:12" ht="15.75" customHeight="1">
      <c r="A414" s="180"/>
      <c r="B414" s="181"/>
      <c r="C414" s="181"/>
      <c r="D414" s="181"/>
      <c r="E414" s="181"/>
      <c r="F414" s="181"/>
      <c r="G414" s="181"/>
      <c r="H414" s="181"/>
      <c r="I414" s="181"/>
      <c r="J414" s="181"/>
      <c r="K414" s="182"/>
      <c r="L414" s="182"/>
    </row>
    <row r="415" spans="1:12" ht="15.75" customHeight="1">
      <c r="A415" s="180"/>
      <c r="B415" s="181"/>
      <c r="C415" s="181"/>
      <c r="D415" s="181"/>
      <c r="E415" s="181"/>
      <c r="F415" s="181"/>
      <c r="G415" s="181"/>
      <c r="H415" s="181"/>
      <c r="I415" s="181"/>
      <c r="J415" s="181"/>
      <c r="K415" s="182"/>
      <c r="L415" s="182"/>
    </row>
    <row r="416" spans="1:12" ht="15.75" customHeight="1">
      <c r="A416" s="180"/>
      <c r="B416" s="181"/>
      <c r="C416" s="181"/>
      <c r="D416" s="181"/>
      <c r="E416" s="181"/>
      <c r="F416" s="181"/>
      <c r="G416" s="181"/>
      <c r="H416" s="181"/>
      <c r="I416" s="181"/>
      <c r="J416" s="181"/>
      <c r="K416" s="182"/>
      <c r="L416" s="182"/>
    </row>
    <row r="417" spans="1:12" ht="15.75" customHeight="1">
      <c r="A417" s="180"/>
      <c r="B417" s="181"/>
      <c r="C417" s="181"/>
      <c r="D417" s="181"/>
      <c r="E417" s="181"/>
      <c r="F417" s="181"/>
      <c r="G417" s="181"/>
      <c r="H417" s="181"/>
      <c r="I417" s="181"/>
      <c r="J417" s="181"/>
      <c r="K417" s="182"/>
      <c r="L417" s="182"/>
    </row>
    <row r="418" spans="1:12" ht="15.75" customHeight="1">
      <c r="A418" s="180"/>
      <c r="B418" s="181"/>
      <c r="C418" s="181"/>
      <c r="D418" s="181"/>
      <c r="E418" s="181"/>
      <c r="F418" s="181"/>
      <c r="G418" s="181"/>
      <c r="H418" s="181"/>
      <c r="I418" s="181"/>
      <c r="J418" s="181"/>
      <c r="K418" s="182"/>
      <c r="L418" s="182"/>
    </row>
    <row r="419" spans="1:12" ht="15.75" customHeight="1">
      <c r="A419" s="180"/>
      <c r="B419" s="181"/>
      <c r="C419" s="181"/>
      <c r="D419" s="181"/>
      <c r="E419" s="181"/>
      <c r="F419" s="181"/>
      <c r="G419" s="181"/>
      <c r="H419" s="181"/>
      <c r="I419" s="181"/>
      <c r="J419" s="181"/>
      <c r="K419" s="182"/>
      <c r="L419" s="182"/>
    </row>
    <row r="420" spans="1:12" ht="15.75" customHeight="1">
      <c r="A420" s="180"/>
      <c r="B420" s="181"/>
      <c r="C420" s="181"/>
      <c r="D420" s="181"/>
      <c r="E420" s="181"/>
      <c r="F420" s="181"/>
      <c r="G420" s="181"/>
      <c r="H420" s="181"/>
      <c r="I420" s="181"/>
      <c r="J420" s="181"/>
      <c r="K420" s="182"/>
      <c r="L420" s="182"/>
    </row>
    <row r="421" spans="1:12" ht="15.75" customHeight="1">
      <c r="A421" s="180"/>
      <c r="B421" s="181"/>
      <c r="C421" s="181"/>
      <c r="D421" s="181"/>
      <c r="E421" s="181"/>
      <c r="F421" s="181"/>
      <c r="G421" s="181"/>
      <c r="H421" s="181"/>
      <c r="I421" s="181"/>
      <c r="J421" s="181"/>
      <c r="K421" s="182"/>
      <c r="L421" s="182"/>
    </row>
    <row r="422" spans="1:12" ht="15.75" customHeight="1">
      <c r="A422" s="180"/>
      <c r="B422" s="181"/>
      <c r="C422" s="181"/>
      <c r="D422" s="181"/>
      <c r="E422" s="181"/>
      <c r="F422" s="181"/>
      <c r="G422" s="181"/>
      <c r="H422" s="181"/>
      <c r="I422" s="181"/>
      <c r="J422" s="181"/>
      <c r="K422" s="182"/>
      <c r="L422" s="182"/>
    </row>
    <row r="423" spans="1:12" ht="15.75" customHeight="1">
      <c r="A423" s="180"/>
      <c r="B423" s="181"/>
      <c r="C423" s="181"/>
      <c r="D423" s="181"/>
      <c r="E423" s="181"/>
      <c r="F423" s="181"/>
      <c r="G423" s="181"/>
      <c r="H423" s="181"/>
      <c r="I423" s="181"/>
      <c r="J423" s="181"/>
      <c r="K423" s="182"/>
      <c r="L423" s="182"/>
    </row>
    <row r="424" spans="1:12" ht="15.75" customHeight="1">
      <c r="A424" s="180"/>
      <c r="B424" s="181"/>
      <c r="C424" s="181"/>
      <c r="D424" s="181"/>
      <c r="E424" s="181"/>
      <c r="F424" s="181"/>
      <c r="G424" s="181"/>
      <c r="H424" s="181"/>
      <c r="I424" s="181"/>
      <c r="J424" s="181"/>
      <c r="K424" s="182"/>
      <c r="L424" s="182"/>
    </row>
    <row r="425" spans="1:12" ht="15.75" customHeight="1">
      <c r="A425" s="180"/>
      <c r="B425" s="181"/>
      <c r="C425" s="181"/>
      <c r="D425" s="181"/>
      <c r="E425" s="181"/>
      <c r="F425" s="181"/>
      <c r="G425" s="181"/>
      <c r="H425" s="181"/>
      <c r="I425" s="181"/>
      <c r="J425" s="181"/>
      <c r="K425" s="182"/>
      <c r="L425" s="182"/>
    </row>
    <row r="426" spans="1:12" ht="15.75" customHeight="1">
      <c r="A426" s="180"/>
      <c r="B426" s="181"/>
      <c r="C426" s="181"/>
      <c r="D426" s="181"/>
      <c r="E426" s="181"/>
      <c r="F426" s="181"/>
      <c r="G426" s="181"/>
      <c r="H426" s="181"/>
      <c r="I426" s="181"/>
      <c r="J426" s="181"/>
      <c r="K426" s="182"/>
      <c r="L426" s="182"/>
    </row>
    <row r="427" spans="1:12" ht="15.75" customHeight="1">
      <c r="A427" s="180"/>
      <c r="B427" s="181"/>
      <c r="C427" s="181"/>
      <c r="D427" s="181"/>
      <c r="E427" s="181"/>
      <c r="F427" s="181"/>
      <c r="G427" s="181"/>
      <c r="H427" s="181"/>
      <c r="I427" s="181"/>
      <c r="J427" s="181"/>
      <c r="K427" s="182"/>
      <c r="L427" s="182"/>
    </row>
    <row r="428" spans="1:12" ht="15.75" customHeight="1">
      <c r="A428" s="180"/>
      <c r="B428" s="181"/>
      <c r="C428" s="181"/>
      <c r="D428" s="181"/>
      <c r="E428" s="181"/>
      <c r="F428" s="181"/>
      <c r="G428" s="181"/>
      <c r="H428" s="181"/>
      <c r="I428" s="181"/>
      <c r="J428" s="181"/>
      <c r="K428" s="182"/>
      <c r="L428" s="182"/>
    </row>
    <row r="429" spans="1:12" ht="15.75" customHeight="1">
      <c r="A429" s="180"/>
      <c r="B429" s="181"/>
      <c r="C429" s="181"/>
      <c r="D429" s="181"/>
      <c r="E429" s="181"/>
      <c r="F429" s="181"/>
      <c r="G429" s="181"/>
      <c r="H429" s="181"/>
      <c r="I429" s="181"/>
      <c r="J429" s="181"/>
      <c r="K429" s="182"/>
      <c r="L429" s="182"/>
    </row>
    <row r="430" spans="1:12" ht="15.75" customHeight="1">
      <c r="A430" s="180"/>
      <c r="B430" s="181"/>
      <c r="C430" s="181"/>
      <c r="D430" s="181"/>
      <c r="E430" s="181"/>
      <c r="F430" s="181"/>
      <c r="G430" s="181"/>
      <c r="H430" s="181"/>
      <c r="I430" s="181"/>
      <c r="J430" s="181"/>
      <c r="K430" s="182"/>
      <c r="L430" s="182"/>
    </row>
    <row r="431" spans="1:12" ht="15.75" customHeight="1">
      <c r="A431" s="180"/>
      <c r="B431" s="181"/>
      <c r="C431" s="181"/>
      <c r="D431" s="181"/>
      <c r="E431" s="181"/>
      <c r="F431" s="181"/>
      <c r="G431" s="181"/>
      <c r="H431" s="181"/>
      <c r="I431" s="181"/>
      <c r="J431" s="181"/>
      <c r="K431" s="182"/>
      <c r="L431" s="182"/>
    </row>
    <row r="432" spans="1:12" ht="15.75" customHeight="1">
      <c r="A432" s="180"/>
      <c r="B432" s="181"/>
      <c r="C432" s="181"/>
      <c r="D432" s="181"/>
      <c r="E432" s="181"/>
      <c r="F432" s="181"/>
      <c r="G432" s="181"/>
      <c r="H432" s="181"/>
      <c r="I432" s="181"/>
      <c r="J432" s="181"/>
      <c r="K432" s="182"/>
      <c r="L432" s="182"/>
    </row>
    <row r="433" spans="1:12" ht="15.75" customHeight="1">
      <c r="A433" s="180"/>
      <c r="B433" s="181"/>
      <c r="C433" s="181"/>
      <c r="D433" s="181"/>
      <c r="E433" s="181"/>
      <c r="F433" s="181"/>
      <c r="G433" s="181"/>
      <c r="H433" s="181"/>
      <c r="I433" s="181"/>
      <c r="J433" s="181"/>
      <c r="K433" s="182"/>
      <c r="L433" s="182"/>
    </row>
    <row r="434" spans="1:12" ht="15.75" customHeight="1">
      <c r="A434" s="180"/>
      <c r="B434" s="181"/>
      <c r="C434" s="181"/>
      <c r="D434" s="181"/>
      <c r="E434" s="181"/>
      <c r="F434" s="181"/>
      <c r="G434" s="181"/>
      <c r="H434" s="181"/>
      <c r="I434" s="181"/>
      <c r="J434" s="181"/>
      <c r="K434" s="182"/>
      <c r="L434" s="182"/>
    </row>
    <row r="435" spans="1:12" ht="15.75" customHeight="1">
      <c r="A435" s="180"/>
      <c r="B435" s="181"/>
      <c r="C435" s="181"/>
      <c r="D435" s="181"/>
      <c r="E435" s="181"/>
      <c r="F435" s="181"/>
      <c r="G435" s="181"/>
      <c r="H435" s="181"/>
      <c r="I435" s="181"/>
      <c r="J435" s="181"/>
      <c r="K435" s="182"/>
      <c r="L435" s="182"/>
    </row>
    <row r="436" spans="1:12" ht="15.75" customHeight="1">
      <c r="A436" s="180"/>
      <c r="B436" s="181"/>
      <c r="C436" s="181"/>
      <c r="D436" s="181"/>
      <c r="E436" s="181"/>
      <c r="F436" s="181"/>
      <c r="G436" s="181"/>
      <c r="H436" s="181"/>
      <c r="I436" s="181"/>
      <c r="J436" s="181"/>
      <c r="K436" s="182"/>
      <c r="L436" s="182"/>
    </row>
    <row r="437" spans="1:12" ht="15.75" customHeight="1">
      <c r="A437" s="180"/>
      <c r="B437" s="181"/>
      <c r="C437" s="181"/>
      <c r="D437" s="181"/>
      <c r="E437" s="181"/>
      <c r="F437" s="181"/>
      <c r="G437" s="181"/>
      <c r="H437" s="181"/>
      <c r="I437" s="181"/>
      <c r="J437" s="181"/>
      <c r="K437" s="182"/>
      <c r="L437" s="182"/>
    </row>
    <row r="438" spans="1:12" ht="15.75" customHeight="1">
      <c r="A438" s="180"/>
      <c r="B438" s="181"/>
      <c r="C438" s="181"/>
      <c r="D438" s="181"/>
      <c r="E438" s="181"/>
      <c r="F438" s="181"/>
      <c r="G438" s="181"/>
      <c r="H438" s="181"/>
      <c r="I438" s="181"/>
      <c r="J438" s="181"/>
      <c r="K438" s="182"/>
      <c r="L438" s="182"/>
    </row>
    <row r="439" spans="1:12" ht="15.75" customHeight="1">
      <c r="A439" s="180"/>
      <c r="B439" s="181"/>
      <c r="C439" s="181"/>
      <c r="D439" s="181"/>
      <c r="E439" s="181"/>
      <c r="F439" s="181"/>
      <c r="G439" s="181"/>
      <c r="H439" s="181"/>
      <c r="I439" s="181"/>
      <c r="J439" s="181"/>
      <c r="K439" s="182"/>
      <c r="L439" s="182"/>
    </row>
    <row r="440" spans="1:12" ht="15.75" customHeight="1">
      <c r="A440" s="180"/>
      <c r="B440" s="181"/>
      <c r="C440" s="181"/>
      <c r="D440" s="181"/>
      <c r="E440" s="181"/>
      <c r="F440" s="181"/>
      <c r="G440" s="181"/>
      <c r="H440" s="181"/>
      <c r="I440" s="181"/>
      <c r="J440" s="181"/>
      <c r="K440" s="182"/>
      <c r="L440" s="182"/>
    </row>
    <row r="441" spans="1:12" ht="15.75" customHeight="1">
      <c r="A441" s="180"/>
      <c r="B441" s="181"/>
      <c r="C441" s="181"/>
      <c r="D441" s="181"/>
      <c r="E441" s="181"/>
      <c r="F441" s="181"/>
      <c r="G441" s="181"/>
      <c r="H441" s="181"/>
      <c r="I441" s="181"/>
      <c r="J441" s="181"/>
      <c r="K441" s="182"/>
      <c r="L441" s="182"/>
    </row>
    <row r="442" spans="1:12" ht="15.75" customHeight="1">
      <c r="A442" s="180"/>
      <c r="B442" s="181"/>
      <c r="C442" s="181"/>
      <c r="D442" s="181"/>
      <c r="E442" s="181"/>
      <c r="F442" s="181"/>
      <c r="G442" s="181"/>
      <c r="H442" s="181"/>
      <c r="I442" s="181"/>
      <c r="J442" s="181"/>
      <c r="K442" s="182"/>
      <c r="L442" s="182"/>
    </row>
    <row r="443" spans="1:12" ht="15.75" customHeight="1">
      <c r="A443" s="180"/>
      <c r="B443" s="181"/>
      <c r="C443" s="181"/>
      <c r="D443" s="181"/>
      <c r="E443" s="181"/>
      <c r="F443" s="181"/>
      <c r="G443" s="181"/>
      <c r="H443" s="181"/>
      <c r="I443" s="181"/>
      <c r="J443" s="181"/>
      <c r="K443" s="182"/>
      <c r="L443" s="182"/>
    </row>
    <row r="444" spans="1:12" ht="15.75" customHeight="1">
      <c r="A444" s="180"/>
      <c r="B444" s="181"/>
      <c r="C444" s="181"/>
      <c r="D444" s="181"/>
      <c r="E444" s="181"/>
      <c r="F444" s="181"/>
      <c r="G444" s="181"/>
      <c r="H444" s="181"/>
      <c r="I444" s="181"/>
      <c r="J444" s="181"/>
      <c r="K444" s="182"/>
      <c r="L444" s="182"/>
    </row>
    <row r="445" spans="1:12" ht="15.75" customHeight="1">
      <c r="A445" s="180"/>
      <c r="B445" s="181"/>
      <c r="C445" s="181"/>
      <c r="D445" s="181"/>
      <c r="E445" s="181"/>
      <c r="F445" s="181"/>
      <c r="G445" s="181"/>
      <c r="H445" s="181"/>
      <c r="I445" s="181"/>
      <c r="J445" s="181"/>
      <c r="K445" s="182"/>
      <c r="L445" s="182"/>
    </row>
    <row r="446" spans="1:12" ht="15.75" customHeight="1">
      <c r="A446" s="180"/>
      <c r="B446" s="181"/>
      <c r="C446" s="181"/>
      <c r="D446" s="181"/>
      <c r="E446" s="181"/>
      <c r="F446" s="181"/>
      <c r="G446" s="181"/>
      <c r="H446" s="181"/>
      <c r="I446" s="181"/>
      <c r="J446" s="181"/>
      <c r="K446" s="182"/>
      <c r="L446" s="182"/>
    </row>
    <row r="447" spans="1:12" ht="15.75" customHeight="1">
      <c r="A447" s="180"/>
      <c r="B447" s="181"/>
      <c r="C447" s="181"/>
      <c r="D447" s="181"/>
      <c r="E447" s="181"/>
      <c r="F447" s="181"/>
      <c r="G447" s="181"/>
      <c r="H447" s="181"/>
      <c r="I447" s="181"/>
      <c r="J447" s="181"/>
      <c r="K447" s="182"/>
      <c r="L447" s="182"/>
    </row>
    <row r="448" spans="1:12" ht="15.75" customHeight="1">
      <c r="A448" s="180"/>
      <c r="B448" s="181"/>
      <c r="C448" s="181"/>
      <c r="D448" s="181"/>
      <c r="E448" s="181"/>
      <c r="F448" s="181"/>
      <c r="G448" s="181"/>
      <c r="H448" s="181"/>
      <c r="I448" s="181"/>
      <c r="J448" s="181"/>
      <c r="K448" s="182"/>
      <c r="L448" s="182"/>
    </row>
    <row r="449" spans="1:12" ht="15.75" customHeight="1">
      <c r="A449" s="180"/>
      <c r="B449" s="181"/>
      <c r="C449" s="181"/>
      <c r="D449" s="181"/>
      <c r="E449" s="181"/>
      <c r="F449" s="181"/>
      <c r="G449" s="181"/>
      <c r="H449" s="181"/>
      <c r="I449" s="181"/>
      <c r="J449" s="181"/>
      <c r="K449" s="182"/>
      <c r="L449" s="182"/>
    </row>
    <row r="450" spans="1:12" ht="15.75" customHeight="1">
      <c r="A450" s="180"/>
      <c r="B450" s="181"/>
      <c r="C450" s="181"/>
      <c r="D450" s="181"/>
      <c r="E450" s="181"/>
      <c r="F450" s="181"/>
      <c r="G450" s="181"/>
      <c r="H450" s="181"/>
      <c r="I450" s="181"/>
      <c r="J450" s="181"/>
      <c r="K450" s="182"/>
      <c r="L450" s="182"/>
    </row>
    <row r="451" spans="1:12" ht="15.75" customHeight="1">
      <c r="A451" s="180"/>
      <c r="B451" s="181"/>
      <c r="C451" s="181"/>
      <c r="D451" s="181"/>
      <c r="E451" s="181"/>
      <c r="F451" s="181"/>
      <c r="G451" s="181"/>
      <c r="H451" s="181"/>
      <c r="I451" s="181"/>
      <c r="J451" s="181"/>
      <c r="K451" s="182"/>
      <c r="L451" s="182"/>
    </row>
    <row r="452" spans="1:12" ht="15.75" customHeight="1">
      <c r="A452" s="180"/>
      <c r="B452" s="181"/>
      <c r="C452" s="181"/>
      <c r="D452" s="181"/>
      <c r="E452" s="181"/>
      <c r="F452" s="181"/>
      <c r="G452" s="181"/>
      <c r="H452" s="181"/>
      <c r="I452" s="181"/>
      <c r="J452" s="181"/>
      <c r="K452" s="182"/>
      <c r="L452" s="182"/>
    </row>
    <row r="453" spans="1:12" ht="15.75" customHeight="1">
      <c r="A453" s="180"/>
      <c r="B453" s="181"/>
      <c r="C453" s="181"/>
      <c r="D453" s="181"/>
      <c r="E453" s="181"/>
      <c r="F453" s="181"/>
      <c r="G453" s="181"/>
      <c r="H453" s="181"/>
      <c r="I453" s="181"/>
      <c r="J453" s="181"/>
      <c r="K453" s="182"/>
      <c r="L453" s="182"/>
    </row>
    <row r="454" spans="1:12" ht="15.75" customHeight="1">
      <c r="A454" s="180"/>
      <c r="B454" s="181"/>
      <c r="C454" s="181"/>
      <c r="D454" s="181"/>
      <c r="E454" s="181"/>
      <c r="F454" s="181"/>
      <c r="G454" s="181"/>
      <c r="H454" s="181"/>
      <c r="I454" s="181"/>
      <c r="J454" s="181"/>
      <c r="K454" s="182"/>
      <c r="L454" s="182"/>
    </row>
    <row r="455" spans="1:12" ht="15.75" customHeight="1">
      <c r="A455" s="180"/>
      <c r="B455" s="181"/>
      <c r="C455" s="181"/>
      <c r="D455" s="181"/>
      <c r="E455" s="181"/>
      <c r="F455" s="181"/>
      <c r="G455" s="181"/>
      <c r="H455" s="181"/>
      <c r="I455" s="181"/>
      <c r="J455" s="181"/>
      <c r="K455" s="182"/>
      <c r="L455" s="182"/>
    </row>
    <row r="456" spans="1:12" ht="15.75" customHeight="1">
      <c r="A456" s="180"/>
      <c r="B456" s="181"/>
      <c r="C456" s="181"/>
      <c r="D456" s="181"/>
      <c r="E456" s="181"/>
      <c r="F456" s="181"/>
      <c r="G456" s="181"/>
      <c r="H456" s="181"/>
      <c r="I456" s="181"/>
      <c r="J456" s="181"/>
      <c r="K456" s="182"/>
      <c r="L456" s="182"/>
    </row>
    <row r="457" spans="1:12" ht="15.75" customHeight="1">
      <c r="A457" s="180"/>
      <c r="B457" s="181"/>
      <c r="C457" s="181"/>
      <c r="D457" s="181"/>
      <c r="E457" s="181"/>
      <c r="F457" s="181"/>
      <c r="G457" s="181"/>
      <c r="H457" s="181"/>
      <c r="I457" s="181"/>
      <c r="J457" s="181"/>
      <c r="K457" s="182"/>
      <c r="L457" s="182"/>
    </row>
    <row r="458" spans="1:12" ht="15.75" customHeight="1">
      <c r="A458" s="180"/>
      <c r="B458" s="181"/>
      <c r="C458" s="181"/>
      <c r="D458" s="181"/>
      <c r="E458" s="181"/>
      <c r="F458" s="181"/>
      <c r="G458" s="181"/>
      <c r="H458" s="181"/>
      <c r="I458" s="181"/>
      <c r="J458" s="181"/>
      <c r="K458" s="182"/>
      <c r="L458" s="182"/>
    </row>
    <row r="459" spans="1:12" ht="15.75" customHeight="1">
      <c r="A459" s="180"/>
      <c r="B459" s="181"/>
      <c r="C459" s="181"/>
      <c r="D459" s="181"/>
      <c r="E459" s="181"/>
      <c r="F459" s="181"/>
      <c r="G459" s="181"/>
      <c r="H459" s="181"/>
      <c r="I459" s="181"/>
      <c r="J459" s="181"/>
      <c r="K459" s="182"/>
      <c r="L459" s="182"/>
    </row>
    <row r="460" spans="1:12" ht="15.75" customHeight="1">
      <c r="A460" s="180"/>
      <c r="B460" s="181"/>
      <c r="C460" s="181"/>
      <c r="D460" s="181"/>
      <c r="E460" s="181"/>
      <c r="F460" s="181"/>
      <c r="G460" s="181"/>
      <c r="H460" s="181"/>
      <c r="I460" s="181"/>
      <c r="J460" s="181"/>
      <c r="K460" s="182"/>
      <c r="L460" s="182"/>
    </row>
    <row r="461" spans="1:12" ht="15.75" customHeight="1">
      <c r="A461" s="180"/>
      <c r="B461" s="181"/>
      <c r="C461" s="181"/>
      <c r="D461" s="181"/>
      <c r="E461" s="181"/>
      <c r="F461" s="181"/>
      <c r="G461" s="181"/>
      <c r="H461" s="181"/>
      <c r="I461" s="181"/>
      <c r="J461" s="181"/>
      <c r="K461" s="182"/>
      <c r="L461" s="182"/>
    </row>
    <row r="462" spans="1:12" ht="15.75" customHeight="1">
      <c r="A462" s="180"/>
      <c r="B462" s="181"/>
      <c r="C462" s="181"/>
      <c r="D462" s="181"/>
      <c r="E462" s="181"/>
      <c r="F462" s="181"/>
      <c r="G462" s="181"/>
      <c r="H462" s="181"/>
      <c r="I462" s="181"/>
      <c r="J462" s="181"/>
      <c r="K462" s="182"/>
      <c r="L462" s="182"/>
    </row>
    <row r="463" spans="1:12" ht="15.75" customHeight="1">
      <c r="A463" s="180"/>
      <c r="B463" s="181"/>
      <c r="C463" s="181"/>
      <c r="D463" s="181"/>
      <c r="E463" s="181"/>
      <c r="F463" s="181"/>
      <c r="G463" s="181"/>
      <c r="H463" s="181"/>
      <c r="I463" s="181"/>
      <c r="J463" s="181"/>
      <c r="K463" s="182"/>
      <c r="L463" s="182"/>
    </row>
    <row r="464" spans="1:12" ht="15.75" customHeight="1">
      <c r="A464" s="180"/>
      <c r="B464" s="181"/>
      <c r="C464" s="181"/>
      <c r="D464" s="181"/>
      <c r="E464" s="181"/>
      <c r="F464" s="181"/>
      <c r="G464" s="181"/>
      <c r="H464" s="181"/>
      <c r="I464" s="181"/>
      <c r="J464" s="181"/>
      <c r="K464" s="182"/>
      <c r="L464" s="182"/>
    </row>
    <row r="465" spans="1:12" ht="15.75" customHeight="1">
      <c r="A465" s="180"/>
      <c r="B465" s="181"/>
      <c r="C465" s="181"/>
      <c r="D465" s="181"/>
      <c r="E465" s="181"/>
      <c r="F465" s="181"/>
      <c r="G465" s="181"/>
      <c r="H465" s="181"/>
      <c r="I465" s="181"/>
      <c r="J465" s="181"/>
      <c r="K465" s="182"/>
      <c r="L465" s="182"/>
    </row>
    <row r="466" spans="1:12" ht="15.75" customHeight="1">
      <c r="A466" s="180"/>
      <c r="B466" s="181"/>
      <c r="C466" s="181"/>
      <c r="D466" s="181"/>
      <c r="E466" s="181"/>
      <c r="F466" s="181"/>
      <c r="G466" s="181"/>
      <c r="H466" s="181"/>
      <c r="I466" s="181"/>
      <c r="J466" s="181"/>
      <c r="K466" s="182"/>
      <c r="L466" s="182"/>
    </row>
    <row r="467" spans="1:12" ht="15.75" customHeight="1">
      <c r="A467" s="180"/>
      <c r="B467" s="181"/>
      <c r="C467" s="181"/>
      <c r="D467" s="181"/>
      <c r="E467" s="181"/>
      <c r="F467" s="181"/>
      <c r="G467" s="181"/>
      <c r="H467" s="181"/>
      <c r="I467" s="181"/>
      <c r="J467" s="181"/>
      <c r="K467" s="182"/>
      <c r="L467" s="182"/>
    </row>
    <row r="468" spans="1:12" ht="15.75" customHeight="1">
      <c r="A468" s="180"/>
      <c r="B468" s="181"/>
      <c r="C468" s="181"/>
      <c r="D468" s="181"/>
      <c r="E468" s="181"/>
      <c r="F468" s="181"/>
      <c r="G468" s="181"/>
      <c r="H468" s="181"/>
      <c r="I468" s="181"/>
      <c r="J468" s="181"/>
      <c r="K468" s="182"/>
      <c r="L468" s="182"/>
    </row>
    <row r="469" spans="1:12" ht="15.75" customHeight="1">
      <c r="A469" s="180"/>
      <c r="B469" s="181"/>
      <c r="C469" s="181"/>
      <c r="D469" s="181"/>
      <c r="E469" s="181"/>
      <c r="F469" s="181"/>
      <c r="G469" s="181"/>
      <c r="H469" s="181"/>
      <c r="I469" s="181"/>
      <c r="J469" s="181"/>
      <c r="K469" s="182"/>
      <c r="L469" s="182"/>
    </row>
    <row r="470" spans="1:12" ht="15.75" customHeight="1">
      <c r="A470" s="180"/>
      <c r="B470" s="181"/>
      <c r="C470" s="181"/>
      <c r="D470" s="181"/>
      <c r="E470" s="181"/>
      <c r="F470" s="181"/>
      <c r="G470" s="181"/>
      <c r="H470" s="181"/>
      <c r="I470" s="181"/>
      <c r="J470" s="181"/>
      <c r="K470" s="182"/>
      <c r="L470" s="182"/>
    </row>
    <row r="471" spans="1:12" ht="15.75" customHeight="1">
      <c r="A471" s="180"/>
      <c r="B471" s="181"/>
      <c r="C471" s="181"/>
      <c r="D471" s="181"/>
      <c r="E471" s="181"/>
      <c r="F471" s="181"/>
      <c r="G471" s="181"/>
      <c r="H471" s="181"/>
      <c r="I471" s="181"/>
      <c r="J471" s="181"/>
      <c r="K471" s="182"/>
      <c r="L471" s="182"/>
    </row>
    <row r="472" spans="1:12" ht="15.75" customHeight="1">
      <c r="A472" s="180"/>
      <c r="B472" s="181"/>
      <c r="C472" s="181"/>
      <c r="D472" s="181"/>
      <c r="E472" s="181"/>
      <c r="F472" s="181"/>
      <c r="G472" s="181"/>
      <c r="H472" s="181"/>
      <c r="I472" s="181"/>
      <c r="J472" s="181"/>
      <c r="K472" s="182"/>
      <c r="L472" s="182"/>
    </row>
    <row r="473" spans="1:12" ht="15.75" customHeight="1">
      <c r="A473" s="180"/>
      <c r="B473" s="181"/>
      <c r="C473" s="181"/>
      <c r="D473" s="181"/>
      <c r="E473" s="181"/>
      <c r="F473" s="181"/>
      <c r="G473" s="181"/>
      <c r="H473" s="181"/>
      <c r="I473" s="181"/>
      <c r="J473" s="181"/>
      <c r="K473" s="182"/>
      <c r="L473" s="182"/>
    </row>
    <row r="474" spans="1:12" ht="15.75" customHeight="1">
      <c r="A474" s="180"/>
      <c r="B474" s="181"/>
      <c r="C474" s="181"/>
      <c r="D474" s="181"/>
      <c r="E474" s="181"/>
      <c r="F474" s="181"/>
      <c r="G474" s="181"/>
      <c r="H474" s="181"/>
      <c r="I474" s="181"/>
      <c r="J474" s="181"/>
      <c r="K474" s="182"/>
      <c r="L474" s="182"/>
    </row>
    <row r="475" spans="1:12" ht="15.75" customHeight="1">
      <c r="A475" s="180"/>
      <c r="B475" s="181"/>
      <c r="C475" s="181"/>
      <c r="D475" s="181"/>
      <c r="E475" s="181"/>
      <c r="F475" s="181"/>
      <c r="G475" s="181"/>
      <c r="H475" s="181"/>
      <c r="I475" s="181"/>
      <c r="J475" s="181"/>
      <c r="K475" s="182"/>
      <c r="L475" s="182"/>
    </row>
    <row r="476" spans="1:12" ht="15.75" customHeight="1">
      <c r="A476" s="180"/>
      <c r="B476" s="181"/>
      <c r="C476" s="181"/>
      <c r="D476" s="181"/>
      <c r="E476" s="181"/>
      <c r="F476" s="181"/>
      <c r="G476" s="181"/>
      <c r="H476" s="181"/>
      <c r="I476" s="181"/>
      <c r="J476" s="181"/>
      <c r="K476" s="182"/>
      <c r="L476" s="182"/>
    </row>
    <row r="477" spans="1:12" ht="15.75" customHeight="1">
      <c r="A477" s="180"/>
      <c r="B477" s="181"/>
      <c r="C477" s="181"/>
      <c r="D477" s="181"/>
      <c r="E477" s="181"/>
      <c r="F477" s="181"/>
      <c r="G477" s="181"/>
      <c r="H477" s="181"/>
      <c r="I477" s="181"/>
      <c r="J477" s="181"/>
      <c r="K477" s="182"/>
      <c r="L477" s="182"/>
    </row>
    <row r="478" spans="1:12" ht="15.75" customHeight="1">
      <c r="A478" s="180"/>
      <c r="B478" s="181"/>
      <c r="C478" s="181"/>
      <c r="D478" s="181"/>
      <c r="E478" s="181"/>
      <c r="F478" s="181"/>
      <c r="G478" s="181"/>
      <c r="H478" s="181"/>
      <c r="I478" s="181"/>
      <c r="J478" s="181"/>
      <c r="K478" s="182"/>
      <c r="L478" s="182"/>
    </row>
    <row r="479" spans="1:12" ht="15.75" customHeight="1">
      <c r="A479" s="180"/>
      <c r="B479" s="181"/>
      <c r="C479" s="181"/>
      <c r="D479" s="181"/>
      <c r="E479" s="181"/>
      <c r="F479" s="181"/>
      <c r="G479" s="181"/>
      <c r="H479" s="181"/>
      <c r="I479" s="181"/>
      <c r="J479" s="181"/>
      <c r="K479" s="182"/>
      <c r="L479" s="182"/>
    </row>
    <row r="480" spans="1:12" ht="15.75" customHeight="1">
      <c r="A480" s="180"/>
      <c r="B480" s="181"/>
      <c r="C480" s="181"/>
      <c r="D480" s="181"/>
      <c r="E480" s="181"/>
      <c r="F480" s="181"/>
      <c r="G480" s="181"/>
      <c r="H480" s="181"/>
      <c r="I480" s="181"/>
      <c r="J480" s="181"/>
      <c r="K480" s="182"/>
      <c r="L480" s="182"/>
    </row>
    <row r="481" spans="1:12" ht="15.75" customHeight="1">
      <c r="A481" s="180"/>
      <c r="B481" s="181"/>
      <c r="C481" s="181"/>
      <c r="D481" s="181"/>
      <c r="E481" s="181"/>
      <c r="F481" s="181"/>
      <c r="G481" s="181"/>
      <c r="H481" s="181"/>
      <c r="I481" s="181"/>
      <c r="J481" s="181"/>
      <c r="K481" s="182"/>
      <c r="L481" s="182"/>
    </row>
    <row r="482" spans="1:12" ht="15.75" customHeight="1">
      <c r="A482" s="180"/>
      <c r="B482" s="181"/>
      <c r="C482" s="181"/>
      <c r="D482" s="181"/>
      <c r="E482" s="181"/>
      <c r="F482" s="181"/>
      <c r="G482" s="181"/>
      <c r="H482" s="181"/>
      <c r="I482" s="181"/>
      <c r="J482" s="181"/>
      <c r="K482" s="182"/>
      <c r="L482" s="182"/>
    </row>
    <row r="483" spans="1:12" ht="15.75" customHeight="1">
      <c r="A483" s="180"/>
      <c r="B483" s="181"/>
      <c r="C483" s="181"/>
      <c r="D483" s="181"/>
      <c r="E483" s="181"/>
      <c r="F483" s="181"/>
      <c r="G483" s="181"/>
      <c r="H483" s="181"/>
      <c r="I483" s="181"/>
      <c r="J483" s="181"/>
      <c r="K483" s="182"/>
      <c r="L483" s="182"/>
    </row>
    <row r="484" spans="1:12" ht="15.75" customHeight="1">
      <c r="A484" s="180"/>
      <c r="B484" s="181"/>
      <c r="C484" s="181"/>
      <c r="D484" s="181"/>
      <c r="E484" s="181"/>
      <c r="F484" s="181"/>
      <c r="G484" s="181"/>
      <c r="H484" s="181"/>
      <c r="I484" s="181"/>
      <c r="J484" s="181"/>
      <c r="K484" s="182"/>
      <c r="L484" s="182"/>
    </row>
    <row r="485" spans="1:12" ht="15.75" customHeight="1">
      <c r="A485" s="180"/>
      <c r="B485" s="181"/>
      <c r="C485" s="181"/>
      <c r="D485" s="181"/>
      <c r="E485" s="181"/>
      <c r="F485" s="181"/>
      <c r="G485" s="181"/>
      <c r="H485" s="181"/>
      <c r="I485" s="181"/>
      <c r="J485" s="181"/>
      <c r="K485" s="182"/>
      <c r="L485" s="182"/>
    </row>
    <row r="486" spans="1:12" ht="15.75" customHeight="1">
      <c r="A486" s="180"/>
      <c r="B486" s="181"/>
      <c r="C486" s="181"/>
      <c r="D486" s="181"/>
      <c r="E486" s="181"/>
      <c r="F486" s="181"/>
      <c r="G486" s="181"/>
      <c r="H486" s="181"/>
      <c r="I486" s="181"/>
      <c r="J486" s="181"/>
      <c r="K486" s="182"/>
      <c r="L486" s="182"/>
    </row>
    <row r="487" spans="1:12" ht="15.75" customHeight="1">
      <c r="A487" s="180"/>
      <c r="B487" s="181"/>
      <c r="C487" s="181"/>
      <c r="D487" s="181"/>
      <c r="E487" s="181"/>
      <c r="F487" s="181"/>
      <c r="G487" s="181"/>
      <c r="H487" s="181"/>
      <c r="I487" s="181"/>
      <c r="J487" s="181"/>
      <c r="K487" s="182"/>
      <c r="L487" s="182"/>
    </row>
    <row r="488" spans="1:12" ht="15.75" customHeight="1">
      <c r="A488" s="180"/>
      <c r="B488" s="181"/>
      <c r="C488" s="181"/>
      <c r="D488" s="181"/>
      <c r="E488" s="181"/>
      <c r="F488" s="181"/>
      <c r="G488" s="181"/>
      <c r="H488" s="181"/>
      <c r="I488" s="181"/>
      <c r="J488" s="181"/>
      <c r="K488" s="182"/>
      <c r="L488" s="182"/>
    </row>
    <row r="489" spans="1:12" ht="15.75" customHeight="1">
      <c r="A489" s="180"/>
      <c r="B489" s="181"/>
      <c r="C489" s="181"/>
      <c r="D489" s="181"/>
      <c r="E489" s="181"/>
      <c r="F489" s="181"/>
      <c r="G489" s="181"/>
      <c r="H489" s="181"/>
      <c r="I489" s="181"/>
      <c r="J489" s="181"/>
      <c r="K489" s="182"/>
      <c r="L489" s="182"/>
    </row>
    <row r="490" spans="1:12" ht="15.75" customHeight="1">
      <c r="A490" s="180"/>
      <c r="B490" s="181"/>
      <c r="C490" s="181"/>
      <c r="D490" s="181"/>
      <c r="E490" s="181"/>
      <c r="F490" s="181"/>
      <c r="G490" s="181"/>
      <c r="H490" s="181"/>
      <c r="I490" s="181"/>
      <c r="J490" s="181"/>
      <c r="K490" s="182"/>
      <c r="L490" s="182"/>
    </row>
    <row r="491" spans="1:12" ht="15.75" customHeight="1">
      <c r="A491" s="180"/>
      <c r="B491" s="181"/>
      <c r="C491" s="181"/>
      <c r="D491" s="181"/>
      <c r="E491" s="181"/>
      <c r="F491" s="181"/>
      <c r="G491" s="181"/>
      <c r="H491" s="181"/>
      <c r="I491" s="181"/>
      <c r="J491" s="181"/>
      <c r="K491" s="182"/>
      <c r="L491" s="182"/>
    </row>
    <row r="492" spans="1:12" ht="15.75" customHeight="1">
      <c r="A492" s="180"/>
      <c r="B492" s="181"/>
      <c r="C492" s="181"/>
      <c r="D492" s="181"/>
      <c r="E492" s="181"/>
      <c r="F492" s="181"/>
      <c r="G492" s="181"/>
      <c r="H492" s="181"/>
      <c r="I492" s="181"/>
      <c r="J492" s="181"/>
      <c r="K492" s="182"/>
      <c r="L492" s="182"/>
    </row>
    <row r="493" spans="1:12" ht="15.75" customHeight="1">
      <c r="A493" s="180"/>
      <c r="B493" s="181"/>
      <c r="C493" s="181"/>
      <c r="D493" s="181"/>
      <c r="E493" s="181"/>
      <c r="F493" s="181"/>
      <c r="G493" s="181"/>
      <c r="H493" s="181"/>
      <c r="I493" s="181"/>
      <c r="J493" s="181"/>
      <c r="K493" s="182"/>
      <c r="L493" s="182"/>
    </row>
    <row r="494" spans="1:12" ht="15.75" customHeight="1">
      <c r="A494" s="180"/>
      <c r="B494" s="181"/>
      <c r="C494" s="181"/>
      <c r="D494" s="181"/>
      <c r="E494" s="181"/>
      <c r="F494" s="181"/>
      <c r="G494" s="181"/>
      <c r="H494" s="181"/>
      <c r="I494" s="181"/>
      <c r="J494" s="181"/>
      <c r="K494" s="182"/>
      <c r="L494" s="182"/>
    </row>
    <row r="495" spans="1:12" ht="15.75" customHeight="1">
      <c r="A495" s="180"/>
      <c r="B495" s="181"/>
      <c r="C495" s="181"/>
      <c r="D495" s="181"/>
      <c r="E495" s="181"/>
      <c r="F495" s="181"/>
      <c r="G495" s="181"/>
      <c r="H495" s="181"/>
      <c r="I495" s="181"/>
      <c r="J495" s="181"/>
      <c r="K495" s="182"/>
      <c r="L495" s="182"/>
    </row>
    <row r="496" spans="1:12" ht="15.75" customHeight="1">
      <c r="A496" s="180"/>
      <c r="B496" s="181"/>
      <c r="C496" s="181"/>
      <c r="D496" s="181"/>
      <c r="E496" s="181"/>
      <c r="F496" s="181"/>
      <c r="G496" s="181"/>
      <c r="H496" s="181"/>
      <c r="I496" s="181"/>
      <c r="J496" s="181"/>
      <c r="K496" s="182"/>
      <c r="L496" s="182"/>
    </row>
    <row r="497" spans="1:12" ht="15.75" customHeight="1">
      <c r="A497" s="180"/>
      <c r="B497" s="181"/>
      <c r="C497" s="181"/>
      <c r="D497" s="181"/>
      <c r="E497" s="181"/>
      <c r="F497" s="181"/>
      <c r="G497" s="181"/>
      <c r="H497" s="181"/>
      <c r="I497" s="181"/>
      <c r="J497" s="181"/>
      <c r="K497" s="182"/>
      <c r="L497" s="182"/>
    </row>
    <row r="498" spans="1:12" ht="15.75" customHeight="1">
      <c r="A498" s="180"/>
      <c r="B498" s="181"/>
      <c r="C498" s="181"/>
      <c r="D498" s="181"/>
      <c r="E498" s="181"/>
      <c r="F498" s="181"/>
      <c r="G498" s="181"/>
      <c r="H498" s="181"/>
      <c r="I498" s="181"/>
      <c r="J498" s="181"/>
      <c r="K498" s="182"/>
      <c r="L498" s="182"/>
    </row>
    <row r="499" spans="1:12" ht="15.75" customHeight="1">
      <c r="A499" s="180"/>
      <c r="B499" s="181"/>
      <c r="C499" s="181"/>
      <c r="D499" s="181"/>
      <c r="E499" s="181"/>
      <c r="F499" s="181"/>
      <c r="G499" s="181"/>
      <c r="H499" s="181"/>
      <c r="I499" s="181"/>
      <c r="J499" s="181"/>
      <c r="K499" s="182"/>
      <c r="L499" s="182"/>
    </row>
    <row r="500" spans="1:12" ht="15.75" customHeight="1">
      <c r="A500" s="180"/>
      <c r="B500" s="181"/>
      <c r="C500" s="181"/>
      <c r="D500" s="181"/>
      <c r="E500" s="181"/>
      <c r="F500" s="181"/>
      <c r="G500" s="181"/>
      <c r="H500" s="181"/>
      <c r="I500" s="181"/>
      <c r="J500" s="181"/>
      <c r="K500" s="182"/>
      <c r="L500" s="182"/>
    </row>
    <row r="501" spans="1:12" ht="15.75" customHeight="1">
      <c r="A501" s="180"/>
      <c r="B501" s="181"/>
      <c r="C501" s="181"/>
      <c r="D501" s="181"/>
      <c r="E501" s="181"/>
      <c r="F501" s="181"/>
      <c r="G501" s="181"/>
      <c r="H501" s="181"/>
      <c r="I501" s="181"/>
      <c r="J501" s="181"/>
      <c r="K501" s="182"/>
      <c r="L501" s="182"/>
    </row>
    <row r="502" spans="1:12" ht="15.75" customHeight="1">
      <c r="A502" s="180"/>
      <c r="B502" s="181"/>
      <c r="C502" s="181"/>
      <c r="D502" s="181"/>
      <c r="E502" s="181"/>
      <c r="F502" s="181"/>
      <c r="G502" s="181"/>
      <c r="H502" s="181"/>
      <c r="I502" s="181"/>
      <c r="J502" s="181"/>
      <c r="K502" s="182"/>
      <c r="L502" s="182"/>
    </row>
    <row r="503" spans="1:12" ht="15.75" customHeight="1">
      <c r="A503" s="180"/>
      <c r="B503" s="181"/>
      <c r="C503" s="181"/>
      <c r="D503" s="181"/>
      <c r="E503" s="181"/>
      <c r="F503" s="181"/>
      <c r="G503" s="181"/>
      <c r="H503" s="181"/>
      <c r="I503" s="181"/>
      <c r="J503" s="181"/>
      <c r="K503" s="182"/>
      <c r="L503" s="182"/>
    </row>
    <row r="504" spans="1:12" ht="15.75" customHeight="1">
      <c r="A504" s="180"/>
      <c r="B504" s="181"/>
      <c r="C504" s="181"/>
      <c r="D504" s="181"/>
      <c r="E504" s="181"/>
      <c r="F504" s="181"/>
      <c r="G504" s="181"/>
      <c r="H504" s="181"/>
      <c r="I504" s="181"/>
      <c r="J504" s="181"/>
      <c r="K504" s="182"/>
      <c r="L504" s="182"/>
    </row>
    <row r="505" spans="1:12" ht="15.75" customHeight="1">
      <c r="A505" s="180"/>
      <c r="B505" s="181"/>
      <c r="C505" s="181"/>
      <c r="D505" s="181"/>
      <c r="E505" s="181"/>
      <c r="F505" s="181"/>
      <c r="G505" s="181"/>
      <c r="H505" s="181"/>
      <c r="I505" s="181"/>
      <c r="J505" s="181"/>
      <c r="K505" s="182"/>
      <c r="L505" s="182"/>
    </row>
    <row r="506" spans="1:12" ht="15.75" customHeight="1">
      <c r="A506" s="180"/>
      <c r="B506" s="181"/>
      <c r="C506" s="181"/>
      <c r="D506" s="181"/>
      <c r="E506" s="181"/>
      <c r="F506" s="181"/>
      <c r="G506" s="181"/>
      <c r="H506" s="181"/>
      <c r="I506" s="181"/>
      <c r="J506" s="181"/>
      <c r="K506" s="182"/>
      <c r="L506" s="182"/>
    </row>
    <row r="507" spans="1:12" ht="15.75" customHeight="1">
      <c r="A507" s="180"/>
      <c r="B507" s="181"/>
      <c r="C507" s="181"/>
      <c r="D507" s="181"/>
      <c r="E507" s="181"/>
      <c r="F507" s="181"/>
      <c r="G507" s="181"/>
      <c r="H507" s="181"/>
      <c r="I507" s="181"/>
      <c r="J507" s="181"/>
      <c r="K507" s="182"/>
      <c r="L507" s="182"/>
    </row>
    <row r="508" spans="1:12" ht="15.75" customHeight="1">
      <c r="A508" s="180"/>
      <c r="B508" s="181"/>
      <c r="C508" s="181"/>
      <c r="D508" s="181"/>
      <c r="E508" s="181"/>
      <c r="F508" s="181"/>
      <c r="G508" s="181"/>
      <c r="H508" s="181"/>
      <c r="I508" s="181"/>
      <c r="J508" s="181"/>
      <c r="K508" s="182"/>
      <c r="L508" s="182"/>
    </row>
    <row r="509" spans="1:12" ht="15.75" customHeight="1">
      <c r="A509" s="180"/>
      <c r="B509" s="181"/>
      <c r="C509" s="181"/>
      <c r="D509" s="181"/>
      <c r="E509" s="181"/>
      <c r="F509" s="181"/>
      <c r="G509" s="181"/>
      <c r="H509" s="181"/>
      <c r="I509" s="181"/>
      <c r="J509" s="181"/>
      <c r="K509" s="182"/>
      <c r="L509" s="182"/>
    </row>
    <row r="510" spans="1:12" ht="15.75" customHeight="1">
      <c r="A510" s="180"/>
      <c r="B510" s="181"/>
      <c r="C510" s="181"/>
      <c r="D510" s="181"/>
      <c r="E510" s="181"/>
      <c r="F510" s="181"/>
      <c r="G510" s="181"/>
      <c r="H510" s="181"/>
      <c r="I510" s="181"/>
      <c r="J510" s="181"/>
      <c r="K510" s="182"/>
      <c r="L510" s="182"/>
    </row>
    <row r="511" spans="1:12" ht="15.75" customHeight="1">
      <c r="A511" s="180"/>
      <c r="B511" s="181"/>
      <c r="C511" s="181"/>
      <c r="D511" s="181"/>
      <c r="E511" s="181"/>
      <c r="F511" s="181"/>
      <c r="G511" s="181"/>
      <c r="H511" s="181"/>
      <c r="I511" s="181"/>
      <c r="J511" s="181"/>
      <c r="K511" s="182"/>
      <c r="L511" s="182"/>
    </row>
    <row r="512" spans="1:12" ht="15.75" customHeight="1">
      <c r="A512" s="180"/>
      <c r="B512" s="181"/>
      <c r="C512" s="181"/>
      <c r="D512" s="181"/>
      <c r="E512" s="181"/>
      <c r="F512" s="181"/>
      <c r="G512" s="181"/>
      <c r="H512" s="181"/>
      <c r="I512" s="181"/>
      <c r="J512" s="181"/>
      <c r="K512" s="182"/>
      <c r="L512" s="182"/>
    </row>
    <row r="513" spans="1:12" ht="15.75" customHeight="1">
      <c r="A513" s="180"/>
      <c r="B513" s="181"/>
      <c r="C513" s="181"/>
      <c r="D513" s="181"/>
      <c r="E513" s="181"/>
      <c r="F513" s="181"/>
      <c r="G513" s="181"/>
      <c r="H513" s="181"/>
      <c r="I513" s="181"/>
      <c r="J513" s="181"/>
      <c r="K513" s="182"/>
      <c r="L513" s="182"/>
    </row>
    <row r="514" spans="1:12" ht="15.75" customHeight="1">
      <c r="A514" s="180"/>
      <c r="B514" s="181"/>
      <c r="C514" s="181"/>
      <c r="D514" s="181"/>
      <c r="E514" s="181"/>
      <c r="F514" s="181"/>
      <c r="G514" s="181"/>
      <c r="H514" s="181"/>
      <c r="I514" s="181"/>
      <c r="J514" s="181"/>
      <c r="K514" s="182"/>
      <c r="L514" s="182"/>
    </row>
    <row r="515" spans="1:12" ht="15.75" customHeight="1">
      <c r="A515" s="180"/>
      <c r="B515" s="181"/>
      <c r="C515" s="181"/>
      <c r="D515" s="181"/>
      <c r="E515" s="181"/>
      <c r="F515" s="181"/>
      <c r="G515" s="181"/>
      <c r="H515" s="181"/>
      <c r="I515" s="181"/>
      <c r="J515" s="181"/>
      <c r="K515" s="182"/>
      <c r="L515" s="182"/>
    </row>
    <row r="516" spans="1:12" ht="15.75" customHeight="1">
      <c r="A516" s="180"/>
      <c r="B516" s="181"/>
      <c r="C516" s="181"/>
      <c r="D516" s="181"/>
      <c r="E516" s="181"/>
      <c r="F516" s="181"/>
      <c r="G516" s="181"/>
      <c r="H516" s="181"/>
      <c r="I516" s="181"/>
      <c r="J516" s="181"/>
      <c r="K516" s="182"/>
      <c r="L516" s="182"/>
    </row>
    <row r="517" spans="1:12" ht="15.75" customHeight="1">
      <c r="A517" s="180"/>
      <c r="B517" s="181"/>
      <c r="C517" s="181"/>
      <c r="D517" s="181"/>
      <c r="E517" s="181"/>
      <c r="F517" s="181"/>
      <c r="G517" s="181"/>
      <c r="H517" s="181"/>
      <c r="I517" s="181"/>
      <c r="J517" s="181"/>
      <c r="K517" s="182"/>
      <c r="L517" s="182"/>
    </row>
    <row r="518" spans="1:12" ht="15.75" customHeight="1">
      <c r="A518" s="180"/>
      <c r="B518" s="181"/>
      <c r="C518" s="181"/>
      <c r="D518" s="181"/>
      <c r="E518" s="181"/>
      <c r="F518" s="181"/>
      <c r="G518" s="181"/>
      <c r="H518" s="181"/>
      <c r="I518" s="181"/>
      <c r="J518" s="181"/>
      <c r="K518" s="182"/>
      <c r="L518" s="182"/>
    </row>
    <row r="519" spans="1:12" ht="15.75" customHeight="1">
      <c r="A519" s="180"/>
      <c r="B519" s="181"/>
      <c r="C519" s="181"/>
      <c r="D519" s="181"/>
      <c r="E519" s="181"/>
      <c r="F519" s="181"/>
      <c r="G519" s="181"/>
      <c r="H519" s="181"/>
      <c r="I519" s="181"/>
      <c r="J519" s="181"/>
      <c r="K519" s="182"/>
      <c r="L519" s="182"/>
    </row>
    <row r="520" spans="1:12" ht="15.75" customHeight="1">
      <c r="A520" s="180"/>
      <c r="B520" s="181"/>
      <c r="C520" s="181"/>
      <c r="D520" s="181"/>
      <c r="E520" s="181"/>
      <c r="F520" s="181"/>
      <c r="G520" s="181"/>
      <c r="H520" s="181"/>
      <c r="I520" s="181"/>
      <c r="J520" s="181"/>
      <c r="K520" s="182"/>
      <c r="L520" s="182"/>
    </row>
    <row r="521" spans="1:12" ht="15.75" customHeight="1">
      <c r="A521" s="180"/>
      <c r="B521" s="181"/>
      <c r="C521" s="181"/>
      <c r="D521" s="181"/>
      <c r="E521" s="181"/>
      <c r="F521" s="181"/>
      <c r="G521" s="181"/>
      <c r="H521" s="181"/>
      <c r="I521" s="181"/>
      <c r="J521" s="181"/>
      <c r="K521" s="182"/>
      <c r="L521" s="182"/>
    </row>
    <row r="522" spans="1:12" ht="15.75" customHeight="1">
      <c r="A522" s="180"/>
      <c r="B522" s="181"/>
      <c r="C522" s="181"/>
      <c r="D522" s="181"/>
      <c r="E522" s="181"/>
      <c r="F522" s="181"/>
      <c r="G522" s="181"/>
      <c r="H522" s="181"/>
      <c r="I522" s="181"/>
      <c r="J522" s="181"/>
      <c r="K522" s="182"/>
      <c r="L522" s="182"/>
    </row>
    <row r="523" spans="1:12" ht="15.75" customHeight="1">
      <c r="A523" s="180"/>
      <c r="B523" s="181"/>
      <c r="C523" s="181"/>
      <c r="D523" s="181"/>
      <c r="E523" s="181"/>
      <c r="F523" s="181"/>
      <c r="G523" s="181"/>
      <c r="H523" s="181"/>
      <c r="I523" s="181"/>
      <c r="J523" s="181"/>
      <c r="K523" s="182"/>
      <c r="L523" s="182"/>
    </row>
    <row r="524" spans="1:12" ht="15.75" customHeight="1">
      <c r="A524" s="180"/>
      <c r="B524" s="181"/>
      <c r="C524" s="181"/>
      <c r="D524" s="181"/>
      <c r="E524" s="181"/>
      <c r="F524" s="181"/>
      <c r="G524" s="181"/>
      <c r="H524" s="181"/>
      <c r="I524" s="181"/>
      <c r="J524" s="181"/>
      <c r="K524" s="182"/>
      <c r="L524" s="182"/>
    </row>
    <row r="525" spans="1:12" ht="15.75" customHeight="1">
      <c r="A525" s="180"/>
      <c r="B525" s="181"/>
      <c r="C525" s="181"/>
      <c r="D525" s="181"/>
      <c r="E525" s="181"/>
      <c r="F525" s="181"/>
      <c r="G525" s="181"/>
      <c r="H525" s="181"/>
      <c r="I525" s="181"/>
      <c r="J525" s="181"/>
      <c r="K525" s="182"/>
      <c r="L525" s="182"/>
    </row>
    <row r="526" spans="1:12" ht="15.75" customHeight="1">
      <c r="A526" s="180"/>
      <c r="B526" s="181"/>
      <c r="C526" s="181"/>
      <c r="D526" s="181"/>
      <c r="E526" s="181"/>
      <c r="F526" s="181"/>
      <c r="G526" s="181"/>
      <c r="H526" s="181"/>
      <c r="I526" s="181"/>
      <c r="J526" s="181"/>
      <c r="K526" s="182"/>
      <c r="L526" s="182"/>
    </row>
    <row r="527" spans="1:12" ht="15.75" customHeight="1">
      <c r="A527" s="180"/>
      <c r="B527" s="181"/>
      <c r="C527" s="181"/>
      <c r="D527" s="181"/>
      <c r="E527" s="181"/>
      <c r="F527" s="181"/>
      <c r="G527" s="181"/>
      <c r="H527" s="181"/>
      <c r="I527" s="181"/>
      <c r="J527" s="181"/>
      <c r="K527" s="182"/>
      <c r="L527" s="182"/>
    </row>
    <row r="528" spans="1:12" ht="15.75" customHeight="1">
      <c r="A528" s="180"/>
      <c r="B528" s="181"/>
      <c r="C528" s="181"/>
      <c r="D528" s="181"/>
      <c r="E528" s="181"/>
      <c r="F528" s="181"/>
      <c r="G528" s="181"/>
      <c r="H528" s="181"/>
      <c r="I528" s="181"/>
      <c r="J528" s="181"/>
      <c r="K528" s="182"/>
      <c r="L528" s="182"/>
    </row>
    <row r="529" spans="1:12" ht="15.75" customHeight="1">
      <c r="A529" s="180"/>
      <c r="B529" s="181"/>
      <c r="C529" s="181"/>
      <c r="D529" s="181"/>
      <c r="E529" s="181"/>
      <c r="F529" s="181"/>
      <c r="G529" s="181"/>
      <c r="H529" s="181"/>
      <c r="I529" s="181"/>
      <c r="J529" s="181"/>
      <c r="K529" s="182"/>
      <c r="L529" s="182"/>
    </row>
    <row r="530" spans="1:12" ht="15.75" customHeight="1">
      <c r="A530" s="180"/>
      <c r="B530" s="181"/>
      <c r="C530" s="181"/>
      <c r="D530" s="181"/>
      <c r="E530" s="181"/>
      <c r="F530" s="181"/>
      <c r="G530" s="181"/>
      <c r="H530" s="181"/>
      <c r="I530" s="181"/>
      <c r="J530" s="181"/>
      <c r="K530" s="182"/>
      <c r="L530" s="182"/>
    </row>
    <row r="531" spans="1:12" ht="15.75" customHeight="1">
      <c r="A531" s="180"/>
      <c r="B531" s="181"/>
      <c r="C531" s="181"/>
      <c r="D531" s="181"/>
      <c r="E531" s="181"/>
      <c r="F531" s="181"/>
      <c r="G531" s="181"/>
      <c r="H531" s="181"/>
      <c r="I531" s="181"/>
      <c r="J531" s="181"/>
      <c r="K531" s="182"/>
      <c r="L531" s="182"/>
    </row>
    <row r="532" spans="1:12" ht="15.75" customHeight="1">
      <c r="A532" s="180"/>
      <c r="B532" s="181"/>
      <c r="C532" s="181"/>
      <c r="D532" s="181"/>
      <c r="E532" s="181"/>
      <c r="F532" s="181"/>
      <c r="G532" s="181"/>
      <c r="H532" s="181"/>
      <c r="I532" s="181"/>
      <c r="J532" s="181"/>
      <c r="K532" s="182"/>
      <c r="L532" s="182"/>
    </row>
    <row r="533" spans="1:12" ht="15.75" customHeight="1">
      <c r="A533" s="180"/>
      <c r="B533" s="181"/>
      <c r="C533" s="181"/>
      <c r="D533" s="181"/>
      <c r="E533" s="181"/>
      <c r="F533" s="181"/>
      <c r="G533" s="181"/>
      <c r="H533" s="181"/>
      <c r="I533" s="181"/>
      <c r="J533" s="181"/>
      <c r="K533" s="182"/>
      <c r="L533" s="182"/>
    </row>
    <row r="534" spans="1:12" ht="15.75" customHeight="1">
      <c r="A534" s="180"/>
      <c r="B534" s="181"/>
      <c r="C534" s="181"/>
      <c r="D534" s="181"/>
      <c r="E534" s="181"/>
      <c r="F534" s="181"/>
      <c r="G534" s="181"/>
      <c r="H534" s="181"/>
      <c r="I534" s="181"/>
      <c r="J534" s="181"/>
      <c r="K534" s="182"/>
      <c r="L534" s="182"/>
    </row>
    <row r="535" spans="1:12" ht="15.75" customHeight="1">
      <c r="A535" s="180"/>
      <c r="B535" s="181"/>
      <c r="C535" s="181"/>
      <c r="D535" s="181"/>
      <c r="E535" s="181"/>
      <c r="F535" s="181"/>
      <c r="G535" s="181"/>
      <c r="H535" s="181"/>
      <c r="I535" s="181"/>
      <c r="J535" s="181"/>
      <c r="K535" s="182"/>
      <c r="L535" s="182"/>
    </row>
    <row r="536" spans="1:12" ht="15.75" customHeight="1">
      <c r="A536" s="180"/>
      <c r="B536" s="181"/>
      <c r="C536" s="181"/>
      <c r="D536" s="181"/>
      <c r="E536" s="181"/>
      <c r="F536" s="181"/>
      <c r="G536" s="181"/>
      <c r="H536" s="181"/>
      <c r="I536" s="181"/>
      <c r="J536" s="181"/>
      <c r="K536" s="182"/>
      <c r="L536" s="182"/>
    </row>
    <row r="537" spans="1:12" ht="15.75" customHeight="1">
      <c r="A537" s="180"/>
      <c r="B537" s="181"/>
      <c r="C537" s="181"/>
      <c r="D537" s="181"/>
      <c r="E537" s="181"/>
      <c r="F537" s="181"/>
      <c r="G537" s="181"/>
      <c r="H537" s="181"/>
      <c r="I537" s="181"/>
      <c r="J537" s="181"/>
      <c r="K537" s="182"/>
      <c r="L537" s="182"/>
    </row>
    <row r="538" spans="1:12" ht="15.75" customHeight="1">
      <c r="A538" s="180"/>
      <c r="B538" s="181"/>
      <c r="C538" s="181"/>
      <c r="D538" s="181"/>
      <c r="E538" s="181"/>
      <c r="F538" s="181"/>
      <c r="G538" s="181"/>
      <c r="H538" s="181"/>
      <c r="I538" s="181"/>
      <c r="J538" s="181"/>
      <c r="K538" s="182"/>
      <c r="L538" s="182"/>
    </row>
    <row r="539" spans="1:12" ht="15.75" customHeight="1">
      <c r="A539" s="180"/>
      <c r="B539" s="181"/>
      <c r="C539" s="181"/>
      <c r="D539" s="181"/>
      <c r="E539" s="181"/>
      <c r="F539" s="181"/>
      <c r="G539" s="181"/>
      <c r="H539" s="181"/>
      <c r="I539" s="181"/>
      <c r="J539" s="181"/>
      <c r="K539" s="182"/>
      <c r="L539" s="182"/>
    </row>
    <row r="540" spans="1:12" ht="15.75" customHeight="1">
      <c r="A540" s="180"/>
      <c r="B540" s="181"/>
      <c r="C540" s="181"/>
      <c r="D540" s="181"/>
      <c r="E540" s="181"/>
      <c r="F540" s="181"/>
      <c r="G540" s="181"/>
      <c r="H540" s="181"/>
      <c r="I540" s="181"/>
      <c r="J540" s="181"/>
      <c r="K540" s="182"/>
      <c r="L540" s="182"/>
    </row>
    <row r="541" spans="1:12" ht="15.75" customHeight="1">
      <c r="A541" s="180"/>
      <c r="B541" s="181"/>
      <c r="C541" s="181"/>
      <c r="D541" s="181"/>
      <c r="E541" s="181"/>
      <c r="F541" s="181"/>
      <c r="G541" s="181"/>
      <c r="H541" s="181"/>
      <c r="I541" s="181"/>
      <c r="J541" s="181"/>
      <c r="K541" s="182"/>
      <c r="L541" s="182"/>
    </row>
    <row r="542" spans="1:12" ht="15.75" customHeight="1">
      <c r="A542" s="180"/>
      <c r="B542" s="181"/>
      <c r="C542" s="181"/>
      <c r="D542" s="181"/>
      <c r="E542" s="181"/>
      <c r="F542" s="181"/>
      <c r="G542" s="181"/>
      <c r="H542" s="181"/>
      <c r="I542" s="181"/>
      <c r="J542" s="181"/>
      <c r="K542" s="182"/>
      <c r="L542" s="182"/>
    </row>
    <row r="543" spans="1:12" ht="15.75" customHeight="1">
      <c r="A543" s="180"/>
      <c r="B543" s="181"/>
      <c r="C543" s="181"/>
      <c r="D543" s="181"/>
      <c r="E543" s="181"/>
      <c r="F543" s="181"/>
      <c r="G543" s="181"/>
      <c r="H543" s="181"/>
      <c r="I543" s="181"/>
      <c r="J543" s="181"/>
      <c r="K543" s="182"/>
      <c r="L543" s="182"/>
    </row>
    <row r="544" spans="1:12" ht="15.75" customHeight="1">
      <c r="A544" s="180"/>
      <c r="B544" s="181"/>
      <c r="C544" s="181"/>
      <c r="D544" s="181"/>
      <c r="E544" s="181"/>
      <c r="F544" s="181"/>
      <c r="G544" s="181"/>
      <c r="H544" s="181"/>
      <c r="I544" s="181"/>
      <c r="J544" s="181"/>
      <c r="K544" s="182"/>
      <c r="L544" s="182"/>
    </row>
    <row r="545" spans="1:12" ht="15.75" customHeight="1">
      <c r="A545" s="180"/>
      <c r="B545" s="181"/>
      <c r="C545" s="181"/>
      <c r="D545" s="181"/>
      <c r="E545" s="181"/>
      <c r="F545" s="181"/>
      <c r="G545" s="181"/>
      <c r="H545" s="181"/>
      <c r="I545" s="181"/>
      <c r="J545" s="181"/>
      <c r="K545" s="182"/>
      <c r="L545" s="182"/>
    </row>
    <row r="546" spans="1:12" ht="15.75" customHeight="1">
      <c r="A546" s="180"/>
      <c r="B546" s="181"/>
      <c r="C546" s="181"/>
      <c r="D546" s="181"/>
      <c r="E546" s="181"/>
      <c r="F546" s="181"/>
      <c r="G546" s="181"/>
      <c r="H546" s="181"/>
      <c r="I546" s="181"/>
      <c r="J546" s="181"/>
      <c r="K546" s="182"/>
      <c r="L546" s="182"/>
    </row>
    <row r="547" spans="1:12" ht="15.75" customHeight="1">
      <c r="A547" s="180"/>
      <c r="B547" s="181"/>
      <c r="C547" s="181"/>
      <c r="D547" s="181"/>
      <c r="E547" s="181"/>
      <c r="F547" s="181"/>
      <c r="G547" s="181"/>
      <c r="H547" s="181"/>
      <c r="I547" s="181"/>
      <c r="J547" s="181"/>
      <c r="K547" s="182"/>
      <c r="L547" s="182"/>
    </row>
    <row r="548" spans="1:12" ht="15.75" customHeight="1">
      <c r="A548" s="180"/>
      <c r="B548" s="181"/>
      <c r="C548" s="181"/>
      <c r="D548" s="181"/>
      <c r="E548" s="181"/>
      <c r="F548" s="181"/>
      <c r="G548" s="181"/>
      <c r="H548" s="181"/>
      <c r="I548" s="181"/>
      <c r="J548" s="181"/>
      <c r="K548" s="182"/>
      <c r="L548" s="182"/>
    </row>
    <row r="549" spans="1:12" ht="15.75" customHeight="1">
      <c r="A549" s="180"/>
      <c r="B549" s="181"/>
      <c r="C549" s="181"/>
      <c r="D549" s="181"/>
      <c r="E549" s="181"/>
      <c r="F549" s="181"/>
      <c r="G549" s="181"/>
      <c r="H549" s="181"/>
      <c r="I549" s="181"/>
      <c r="J549" s="181"/>
      <c r="K549" s="182"/>
      <c r="L549" s="182"/>
    </row>
    <row r="550" spans="1:12" ht="15.75" customHeight="1">
      <c r="A550" s="180"/>
      <c r="B550" s="181"/>
      <c r="C550" s="181"/>
      <c r="D550" s="181"/>
      <c r="E550" s="181"/>
      <c r="F550" s="181"/>
      <c r="G550" s="181"/>
      <c r="H550" s="181"/>
      <c r="I550" s="181"/>
      <c r="J550" s="181"/>
      <c r="K550" s="182"/>
      <c r="L550" s="182"/>
    </row>
    <row r="551" spans="1:12" ht="15.75" customHeight="1">
      <c r="A551" s="180"/>
      <c r="B551" s="181"/>
      <c r="C551" s="181"/>
      <c r="D551" s="181"/>
      <c r="E551" s="181"/>
      <c r="F551" s="181"/>
      <c r="G551" s="181"/>
      <c r="H551" s="181"/>
      <c r="I551" s="181"/>
      <c r="J551" s="181"/>
      <c r="K551" s="182"/>
      <c r="L551" s="182"/>
    </row>
    <row r="552" spans="1:12" ht="15.75" customHeight="1">
      <c r="A552" s="180"/>
      <c r="B552" s="181"/>
      <c r="C552" s="181"/>
      <c r="D552" s="181"/>
      <c r="E552" s="181"/>
      <c r="F552" s="181"/>
      <c r="G552" s="181"/>
      <c r="H552" s="181"/>
      <c r="I552" s="181"/>
      <c r="J552" s="181"/>
      <c r="K552" s="182"/>
      <c r="L552" s="182"/>
    </row>
    <row r="553" spans="1:12" ht="15.75" customHeight="1">
      <c r="A553" s="180"/>
      <c r="B553" s="181"/>
      <c r="C553" s="181"/>
      <c r="D553" s="181"/>
      <c r="E553" s="181"/>
      <c r="F553" s="181"/>
      <c r="G553" s="181"/>
      <c r="H553" s="181"/>
      <c r="I553" s="181"/>
      <c r="J553" s="181"/>
      <c r="K553" s="182"/>
      <c r="L553" s="182"/>
    </row>
    <row r="554" spans="1:12" ht="15.75" customHeight="1">
      <c r="A554" s="180"/>
      <c r="B554" s="181"/>
      <c r="C554" s="181"/>
      <c r="D554" s="181"/>
      <c r="E554" s="181"/>
      <c r="F554" s="181"/>
      <c r="G554" s="181"/>
      <c r="H554" s="181"/>
      <c r="I554" s="181"/>
      <c r="J554" s="181"/>
      <c r="K554" s="182"/>
      <c r="L554" s="182"/>
    </row>
    <row r="555" spans="1:12" ht="15.75" customHeight="1">
      <c r="A555" s="180"/>
      <c r="B555" s="181"/>
      <c r="C555" s="181"/>
      <c r="D555" s="181"/>
      <c r="E555" s="181"/>
      <c r="F555" s="181"/>
      <c r="G555" s="181"/>
      <c r="H555" s="181"/>
      <c r="I555" s="181"/>
      <c r="J555" s="181"/>
      <c r="K555" s="182"/>
      <c r="L555" s="182"/>
    </row>
    <row r="556" spans="1:12" ht="15.75" customHeight="1">
      <c r="A556" s="180"/>
      <c r="B556" s="181"/>
      <c r="C556" s="181"/>
      <c r="D556" s="181"/>
      <c r="E556" s="181"/>
      <c r="F556" s="181"/>
      <c r="G556" s="181"/>
      <c r="H556" s="181"/>
      <c r="I556" s="181"/>
      <c r="J556" s="181"/>
      <c r="K556" s="182"/>
      <c r="L556" s="182"/>
    </row>
    <row r="557" spans="1:12" ht="15.75" customHeight="1">
      <c r="A557" s="180"/>
      <c r="B557" s="181"/>
      <c r="C557" s="181"/>
      <c r="D557" s="181"/>
      <c r="E557" s="181"/>
      <c r="F557" s="181"/>
      <c r="G557" s="181"/>
      <c r="H557" s="181"/>
      <c r="I557" s="181"/>
      <c r="J557" s="181"/>
      <c r="K557" s="182"/>
      <c r="L557" s="182"/>
    </row>
    <row r="558" spans="1:12" ht="15.75" customHeight="1">
      <c r="A558" s="180"/>
      <c r="B558" s="181"/>
      <c r="C558" s="181"/>
      <c r="D558" s="181"/>
      <c r="E558" s="181"/>
      <c r="F558" s="181"/>
      <c r="G558" s="181"/>
      <c r="H558" s="181"/>
      <c r="I558" s="181"/>
      <c r="J558" s="181"/>
      <c r="K558" s="182"/>
      <c r="L558" s="182"/>
    </row>
    <row r="559" spans="1:12" ht="15.75" customHeight="1">
      <c r="A559" s="180"/>
      <c r="B559" s="181"/>
      <c r="C559" s="181"/>
      <c r="D559" s="181"/>
      <c r="E559" s="181"/>
      <c r="F559" s="181"/>
      <c r="G559" s="181"/>
      <c r="H559" s="181"/>
      <c r="I559" s="181"/>
      <c r="J559" s="181"/>
      <c r="K559" s="182"/>
      <c r="L559" s="182"/>
    </row>
    <row r="560" spans="1:12" ht="15.75" customHeight="1">
      <c r="A560" s="180"/>
      <c r="B560" s="181"/>
      <c r="C560" s="181"/>
      <c r="D560" s="181"/>
      <c r="E560" s="181"/>
      <c r="F560" s="181"/>
      <c r="G560" s="181"/>
      <c r="H560" s="181"/>
      <c r="I560" s="181"/>
      <c r="J560" s="181"/>
      <c r="K560" s="182"/>
      <c r="L560" s="182"/>
    </row>
    <row r="561" spans="1:12" ht="15.75" customHeight="1">
      <c r="A561" s="180"/>
      <c r="B561" s="181"/>
      <c r="C561" s="181"/>
      <c r="D561" s="181"/>
      <c r="E561" s="181"/>
      <c r="F561" s="181"/>
      <c r="G561" s="181"/>
      <c r="H561" s="181"/>
      <c r="I561" s="181"/>
      <c r="J561" s="181"/>
      <c r="K561" s="182"/>
      <c r="L561" s="182"/>
    </row>
    <row r="562" spans="1:12" ht="15.75" customHeight="1">
      <c r="A562" s="180"/>
      <c r="B562" s="181"/>
      <c r="C562" s="181"/>
      <c r="D562" s="181"/>
      <c r="E562" s="181"/>
      <c r="F562" s="181"/>
      <c r="G562" s="181"/>
      <c r="H562" s="181"/>
      <c r="I562" s="181"/>
      <c r="J562" s="181"/>
      <c r="K562" s="182"/>
      <c r="L562" s="182"/>
    </row>
    <row r="563" spans="1:12" ht="15.75" customHeight="1">
      <c r="A563" s="180"/>
      <c r="B563" s="181"/>
      <c r="C563" s="181"/>
      <c r="D563" s="181"/>
      <c r="E563" s="181"/>
      <c r="F563" s="181"/>
      <c r="G563" s="181"/>
      <c r="H563" s="181"/>
      <c r="I563" s="181"/>
      <c r="J563" s="181"/>
      <c r="K563" s="182"/>
      <c r="L563" s="182"/>
    </row>
    <row r="564" spans="1:12" ht="15.75" customHeight="1">
      <c r="A564" s="180"/>
      <c r="B564" s="181"/>
      <c r="C564" s="181"/>
      <c r="D564" s="181"/>
      <c r="E564" s="181"/>
      <c r="F564" s="181"/>
      <c r="G564" s="181"/>
      <c r="H564" s="181"/>
      <c r="I564" s="181"/>
      <c r="J564" s="181"/>
      <c r="K564" s="182"/>
      <c r="L564" s="182"/>
    </row>
    <row r="565" spans="1:12" ht="15.75" customHeight="1">
      <c r="A565" s="180"/>
      <c r="B565" s="181"/>
      <c r="C565" s="181"/>
      <c r="D565" s="181"/>
      <c r="E565" s="181"/>
      <c r="F565" s="181"/>
      <c r="G565" s="181"/>
      <c r="H565" s="181"/>
      <c r="I565" s="181"/>
      <c r="J565" s="181"/>
      <c r="K565" s="182"/>
      <c r="L565" s="182"/>
    </row>
    <row r="566" spans="1:12" ht="15.75" customHeight="1">
      <c r="A566" s="180"/>
      <c r="B566" s="181"/>
      <c r="C566" s="181"/>
      <c r="D566" s="181"/>
      <c r="E566" s="181"/>
      <c r="F566" s="181"/>
      <c r="G566" s="181"/>
      <c r="H566" s="181"/>
      <c r="I566" s="181"/>
      <c r="J566" s="181"/>
      <c r="K566" s="182"/>
      <c r="L566" s="182"/>
    </row>
    <row r="567" spans="1:12" ht="15.75" customHeight="1">
      <c r="A567" s="180"/>
      <c r="B567" s="181"/>
      <c r="C567" s="181"/>
      <c r="D567" s="181"/>
      <c r="E567" s="181"/>
      <c r="F567" s="181"/>
      <c r="G567" s="181"/>
      <c r="H567" s="181"/>
      <c r="I567" s="181"/>
      <c r="J567" s="181"/>
      <c r="K567" s="182"/>
      <c r="L567" s="182"/>
    </row>
    <row r="568" spans="1:12" ht="15.75" customHeight="1">
      <c r="A568" s="180"/>
      <c r="B568" s="181"/>
      <c r="C568" s="181"/>
      <c r="D568" s="181"/>
      <c r="E568" s="181"/>
      <c r="F568" s="181"/>
      <c r="G568" s="181"/>
      <c r="H568" s="181"/>
      <c r="I568" s="181"/>
      <c r="J568" s="181"/>
      <c r="K568" s="182"/>
      <c r="L568" s="182"/>
    </row>
    <row r="569" spans="1:12" ht="15.75" customHeight="1">
      <c r="A569" s="180"/>
      <c r="B569" s="181"/>
      <c r="C569" s="181"/>
      <c r="D569" s="181"/>
      <c r="E569" s="181"/>
      <c r="F569" s="181"/>
      <c r="G569" s="181"/>
      <c r="H569" s="181"/>
      <c r="I569" s="181"/>
      <c r="J569" s="181"/>
      <c r="K569" s="182"/>
      <c r="L569" s="182"/>
    </row>
    <row r="570" spans="1:12" ht="15.75" customHeight="1">
      <c r="A570" s="180"/>
      <c r="B570" s="181"/>
      <c r="C570" s="181"/>
      <c r="D570" s="181"/>
      <c r="E570" s="181"/>
      <c r="F570" s="181"/>
      <c r="G570" s="181"/>
      <c r="H570" s="181"/>
      <c r="I570" s="181"/>
      <c r="J570" s="181"/>
      <c r="K570" s="182"/>
      <c r="L570" s="182"/>
    </row>
    <row r="571" spans="1:12" ht="15.75" customHeight="1">
      <c r="A571" s="180"/>
      <c r="B571" s="181"/>
      <c r="C571" s="181"/>
      <c r="D571" s="181"/>
      <c r="E571" s="181"/>
      <c r="F571" s="181"/>
      <c r="G571" s="181"/>
      <c r="H571" s="181"/>
      <c r="I571" s="181"/>
      <c r="J571" s="181"/>
      <c r="K571" s="182"/>
      <c r="L571" s="182"/>
    </row>
    <row r="572" spans="1:12" ht="15.75" customHeight="1">
      <c r="A572" s="180"/>
      <c r="B572" s="181"/>
      <c r="C572" s="181"/>
      <c r="D572" s="181"/>
      <c r="E572" s="181"/>
      <c r="F572" s="181"/>
      <c r="G572" s="181"/>
      <c r="H572" s="181"/>
      <c r="I572" s="181"/>
      <c r="J572" s="181"/>
      <c r="K572" s="182"/>
      <c r="L572" s="182"/>
    </row>
    <row r="573" spans="1:12" ht="15.75" customHeight="1">
      <c r="A573" s="180"/>
      <c r="B573" s="181"/>
      <c r="C573" s="181"/>
      <c r="D573" s="181"/>
      <c r="E573" s="181"/>
      <c r="F573" s="181"/>
      <c r="G573" s="181"/>
      <c r="H573" s="181"/>
      <c r="I573" s="181"/>
      <c r="J573" s="181"/>
      <c r="K573" s="182"/>
      <c r="L573" s="182"/>
    </row>
    <row r="574" spans="1:12" ht="15.75" customHeight="1">
      <c r="A574" s="180"/>
      <c r="B574" s="181"/>
      <c r="C574" s="181"/>
      <c r="D574" s="181"/>
      <c r="E574" s="181"/>
      <c r="F574" s="181"/>
      <c r="G574" s="181"/>
      <c r="H574" s="181"/>
      <c r="I574" s="181"/>
      <c r="J574" s="181"/>
      <c r="K574" s="182"/>
      <c r="L574" s="182"/>
    </row>
    <row r="575" spans="1:12" ht="15.75" customHeight="1">
      <c r="A575" s="180"/>
      <c r="B575" s="181"/>
      <c r="C575" s="181"/>
      <c r="D575" s="181"/>
      <c r="E575" s="181"/>
      <c r="F575" s="181"/>
      <c r="G575" s="181"/>
      <c r="H575" s="181"/>
      <c r="I575" s="181"/>
      <c r="J575" s="181"/>
      <c r="K575" s="182"/>
      <c r="L575" s="182"/>
    </row>
    <row r="576" spans="1:12" ht="15.75" customHeight="1">
      <c r="A576" s="180"/>
      <c r="B576" s="181"/>
      <c r="C576" s="181"/>
      <c r="D576" s="181"/>
      <c r="E576" s="181"/>
      <c r="F576" s="181"/>
      <c r="G576" s="181"/>
      <c r="H576" s="181"/>
      <c r="I576" s="181"/>
      <c r="J576" s="181"/>
      <c r="K576" s="182"/>
      <c r="L576" s="182"/>
    </row>
    <row r="577" spans="1:12" ht="15.75" customHeight="1">
      <c r="A577" s="180"/>
      <c r="B577" s="181"/>
      <c r="C577" s="181"/>
      <c r="D577" s="181"/>
      <c r="E577" s="181"/>
      <c r="F577" s="181"/>
      <c r="G577" s="181"/>
      <c r="H577" s="181"/>
      <c r="I577" s="181"/>
      <c r="J577" s="181"/>
      <c r="K577" s="182"/>
      <c r="L577" s="182"/>
    </row>
    <row r="578" spans="1:12" ht="15.75" customHeight="1">
      <c r="A578" s="180"/>
      <c r="B578" s="181"/>
      <c r="C578" s="181"/>
      <c r="D578" s="181"/>
      <c r="E578" s="181"/>
      <c r="F578" s="181"/>
      <c r="G578" s="181"/>
      <c r="H578" s="181"/>
      <c r="I578" s="181"/>
      <c r="J578" s="181"/>
      <c r="K578" s="182"/>
      <c r="L578" s="182"/>
    </row>
    <row r="579" spans="1:12" ht="15.75" customHeight="1">
      <c r="A579" s="180"/>
      <c r="B579" s="181"/>
      <c r="C579" s="181"/>
      <c r="D579" s="181"/>
      <c r="E579" s="181"/>
      <c r="F579" s="181"/>
      <c r="G579" s="181"/>
      <c r="H579" s="181"/>
      <c r="I579" s="181"/>
      <c r="J579" s="181"/>
      <c r="K579" s="182"/>
      <c r="L579" s="182"/>
    </row>
    <row r="580" spans="1:12" ht="15.75" customHeight="1">
      <c r="A580" s="180"/>
      <c r="B580" s="181"/>
      <c r="C580" s="181"/>
      <c r="D580" s="181"/>
      <c r="E580" s="181"/>
      <c r="F580" s="181"/>
      <c r="G580" s="181"/>
      <c r="H580" s="181"/>
      <c r="I580" s="181"/>
      <c r="J580" s="181"/>
      <c r="K580" s="182"/>
      <c r="L580" s="182"/>
    </row>
    <row r="581" spans="1:12" ht="15.75" customHeight="1">
      <c r="A581" s="180"/>
      <c r="B581" s="181"/>
      <c r="C581" s="181"/>
      <c r="D581" s="181"/>
      <c r="E581" s="181"/>
      <c r="F581" s="181"/>
      <c r="G581" s="181"/>
      <c r="H581" s="181"/>
      <c r="I581" s="181"/>
      <c r="J581" s="181"/>
      <c r="K581" s="182"/>
      <c r="L581" s="182"/>
    </row>
    <row r="582" spans="1:12" ht="15.75" customHeight="1">
      <c r="A582" s="180"/>
      <c r="B582" s="181"/>
      <c r="C582" s="181"/>
      <c r="D582" s="181"/>
      <c r="E582" s="181"/>
      <c r="F582" s="181"/>
      <c r="G582" s="181"/>
      <c r="H582" s="181"/>
      <c r="I582" s="181"/>
      <c r="J582" s="181"/>
      <c r="K582" s="182"/>
      <c r="L582" s="182"/>
    </row>
    <row r="583" spans="1:12" ht="15.75" customHeight="1">
      <c r="A583" s="180"/>
      <c r="B583" s="181"/>
      <c r="C583" s="181"/>
      <c r="D583" s="181"/>
      <c r="E583" s="181"/>
      <c r="F583" s="181"/>
      <c r="G583" s="181"/>
      <c r="H583" s="181"/>
      <c r="I583" s="181"/>
      <c r="J583" s="181"/>
      <c r="K583" s="182"/>
      <c r="L583" s="182"/>
    </row>
    <row r="584" spans="1:12" ht="15.75" customHeight="1">
      <c r="A584" s="180"/>
      <c r="B584" s="181"/>
      <c r="C584" s="181"/>
      <c r="D584" s="181"/>
      <c r="E584" s="181"/>
      <c r="F584" s="181"/>
      <c r="G584" s="181"/>
      <c r="H584" s="181"/>
      <c r="I584" s="181"/>
      <c r="J584" s="181"/>
      <c r="K584" s="182"/>
      <c r="L584" s="182"/>
    </row>
    <row r="585" spans="1:12" ht="15.75" customHeight="1">
      <c r="A585" s="180"/>
      <c r="B585" s="181"/>
      <c r="C585" s="181"/>
      <c r="D585" s="181"/>
      <c r="E585" s="181"/>
      <c r="F585" s="181"/>
      <c r="G585" s="181"/>
      <c r="H585" s="181"/>
      <c r="I585" s="181"/>
      <c r="J585" s="181"/>
      <c r="K585" s="182"/>
      <c r="L585" s="182"/>
    </row>
    <row r="586" spans="1:12" ht="15.75" customHeight="1">
      <c r="A586" s="180"/>
      <c r="B586" s="181"/>
      <c r="C586" s="181"/>
      <c r="D586" s="181"/>
      <c r="E586" s="181"/>
      <c r="F586" s="181"/>
      <c r="G586" s="181"/>
      <c r="H586" s="181"/>
      <c r="I586" s="181"/>
      <c r="J586" s="181"/>
      <c r="K586" s="182"/>
      <c r="L586" s="182"/>
    </row>
    <row r="587" spans="1:12" ht="15.75" customHeight="1">
      <c r="A587" s="180"/>
      <c r="B587" s="181"/>
      <c r="C587" s="181"/>
      <c r="D587" s="181"/>
      <c r="E587" s="181"/>
      <c r="F587" s="181"/>
      <c r="G587" s="181"/>
      <c r="H587" s="181"/>
      <c r="I587" s="181"/>
      <c r="J587" s="181"/>
      <c r="K587" s="182"/>
      <c r="L587" s="182"/>
    </row>
    <row r="588" spans="1:12" ht="15.75" customHeight="1">
      <c r="A588" s="180"/>
      <c r="B588" s="181"/>
      <c r="C588" s="181"/>
      <c r="D588" s="181"/>
      <c r="E588" s="181"/>
      <c r="F588" s="181"/>
      <c r="G588" s="181"/>
      <c r="H588" s="181"/>
      <c r="I588" s="181"/>
      <c r="J588" s="181"/>
      <c r="K588" s="182"/>
      <c r="L588" s="182"/>
    </row>
    <row r="589" spans="1:12" ht="15.75" customHeight="1">
      <c r="A589" s="180"/>
      <c r="B589" s="181"/>
      <c r="C589" s="181"/>
      <c r="D589" s="181"/>
      <c r="E589" s="181"/>
      <c r="F589" s="181"/>
      <c r="G589" s="181"/>
      <c r="H589" s="181"/>
      <c r="I589" s="181"/>
      <c r="J589" s="181"/>
      <c r="K589" s="182"/>
      <c r="L589" s="182"/>
    </row>
    <row r="590" spans="1:12" ht="15.75" customHeight="1">
      <c r="A590" s="180"/>
      <c r="B590" s="181"/>
      <c r="C590" s="181"/>
      <c r="D590" s="181"/>
      <c r="E590" s="181"/>
      <c r="F590" s="181"/>
      <c r="G590" s="181"/>
      <c r="H590" s="181"/>
      <c r="I590" s="181"/>
      <c r="J590" s="181"/>
      <c r="K590" s="182"/>
      <c r="L590" s="182"/>
    </row>
    <row r="591" spans="1:12" ht="15.75" customHeight="1">
      <c r="A591" s="180"/>
      <c r="B591" s="181"/>
      <c r="C591" s="181"/>
      <c r="D591" s="181"/>
      <c r="E591" s="181"/>
      <c r="F591" s="181"/>
      <c r="G591" s="181"/>
      <c r="H591" s="181"/>
      <c r="I591" s="181"/>
      <c r="J591" s="181"/>
      <c r="K591" s="182"/>
      <c r="L591" s="182"/>
    </row>
    <row r="592" spans="1:12" ht="15.75" customHeight="1">
      <c r="A592" s="180"/>
      <c r="B592" s="181"/>
      <c r="C592" s="181"/>
      <c r="D592" s="181"/>
      <c r="E592" s="181"/>
      <c r="F592" s="181"/>
      <c r="G592" s="181"/>
      <c r="H592" s="181"/>
      <c r="I592" s="181"/>
      <c r="J592" s="181"/>
      <c r="K592" s="182"/>
      <c r="L592" s="182"/>
    </row>
    <row r="593" spans="1:12" ht="15.75" customHeight="1">
      <c r="A593" s="180"/>
      <c r="B593" s="181"/>
      <c r="C593" s="181"/>
      <c r="D593" s="181"/>
      <c r="E593" s="181"/>
      <c r="F593" s="181"/>
      <c r="G593" s="181"/>
      <c r="H593" s="181"/>
      <c r="I593" s="181"/>
      <c r="J593" s="181"/>
      <c r="K593" s="182"/>
      <c r="L593" s="182"/>
    </row>
    <row r="594" spans="1:12" ht="15.75" customHeight="1">
      <c r="A594" s="180"/>
      <c r="B594" s="181"/>
      <c r="C594" s="181"/>
      <c r="D594" s="181"/>
      <c r="E594" s="181"/>
      <c r="F594" s="181"/>
      <c r="G594" s="181"/>
      <c r="H594" s="181"/>
      <c r="I594" s="181"/>
      <c r="J594" s="181"/>
      <c r="K594" s="182"/>
      <c r="L594" s="182"/>
    </row>
    <row r="595" spans="1:12" ht="15.75" customHeight="1">
      <c r="A595" s="180"/>
      <c r="B595" s="181"/>
      <c r="C595" s="181"/>
      <c r="D595" s="181"/>
      <c r="E595" s="181"/>
      <c r="F595" s="181"/>
      <c r="G595" s="181"/>
      <c r="H595" s="181"/>
      <c r="I595" s="181"/>
      <c r="J595" s="181"/>
      <c r="K595" s="182"/>
      <c r="L595" s="182"/>
    </row>
    <row r="596" spans="1:12" ht="15.75" customHeight="1">
      <c r="A596" s="180"/>
      <c r="B596" s="181"/>
      <c r="C596" s="181"/>
      <c r="D596" s="181"/>
      <c r="E596" s="181"/>
      <c r="F596" s="181"/>
      <c r="G596" s="181"/>
      <c r="H596" s="181"/>
      <c r="I596" s="181"/>
      <c r="J596" s="181"/>
      <c r="K596" s="182"/>
      <c r="L596" s="182"/>
    </row>
    <row r="597" spans="1:12" ht="15.75" customHeight="1">
      <c r="A597" s="180"/>
      <c r="B597" s="181"/>
      <c r="C597" s="181"/>
      <c r="D597" s="181"/>
      <c r="E597" s="181"/>
      <c r="F597" s="181"/>
      <c r="G597" s="181"/>
      <c r="H597" s="181"/>
      <c r="I597" s="181"/>
      <c r="J597" s="181"/>
      <c r="K597" s="182"/>
      <c r="L597" s="182"/>
    </row>
    <row r="598" spans="1:12" ht="15.75" customHeight="1">
      <c r="A598" s="180"/>
      <c r="B598" s="181"/>
      <c r="C598" s="181"/>
      <c r="D598" s="181"/>
      <c r="E598" s="181"/>
      <c r="F598" s="181"/>
      <c r="G598" s="181"/>
      <c r="H598" s="181"/>
      <c r="I598" s="181"/>
      <c r="J598" s="181"/>
      <c r="K598" s="182"/>
      <c r="L598" s="182"/>
    </row>
    <row r="599" spans="1:12" ht="15.75" customHeight="1">
      <c r="A599" s="180"/>
      <c r="B599" s="181"/>
      <c r="C599" s="181"/>
      <c r="D599" s="181"/>
      <c r="E599" s="181"/>
      <c r="F599" s="181"/>
      <c r="G599" s="181"/>
      <c r="H599" s="181"/>
      <c r="I599" s="181"/>
      <c r="J599" s="181"/>
      <c r="K599" s="182"/>
      <c r="L599" s="182"/>
    </row>
    <row r="600" spans="1:12" ht="15.75" customHeight="1">
      <c r="A600" s="180"/>
      <c r="B600" s="181"/>
      <c r="C600" s="181"/>
      <c r="D600" s="181"/>
      <c r="E600" s="181"/>
      <c r="F600" s="181"/>
      <c r="G600" s="181"/>
      <c r="H600" s="181"/>
      <c r="I600" s="181"/>
      <c r="J600" s="181"/>
      <c r="K600" s="182"/>
      <c r="L600" s="182"/>
    </row>
    <row r="601" spans="1:12" ht="15.75" customHeight="1">
      <c r="A601" s="180"/>
      <c r="B601" s="181"/>
      <c r="C601" s="181"/>
      <c r="D601" s="181"/>
      <c r="E601" s="181"/>
      <c r="F601" s="181"/>
      <c r="G601" s="181"/>
      <c r="H601" s="181"/>
      <c r="I601" s="181"/>
      <c r="J601" s="181"/>
      <c r="K601" s="182"/>
      <c r="L601" s="182"/>
    </row>
    <row r="602" spans="1:12" ht="15.75" customHeight="1">
      <c r="A602" s="180"/>
      <c r="B602" s="181"/>
      <c r="C602" s="181"/>
      <c r="D602" s="181"/>
      <c r="E602" s="181"/>
      <c r="F602" s="181"/>
      <c r="G602" s="181"/>
      <c r="H602" s="181"/>
      <c r="I602" s="181"/>
      <c r="J602" s="181"/>
      <c r="K602" s="182"/>
      <c r="L602" s="182"/>
    </row>
    <row r="603" spans="1:12" ht="15.75" customHeight="1">
      <c r="A603" s="180"/>
      <c r="B603" s="181"/>
      <c r="C603" s="181"/>
      <c r="D603" s="181"/>
      <c r="E603" s="181"/>
      <c r="F603" s="181"/>
      <c r="G603" s="181"/>
      <c r="H603" s="181"/>
      <c r="I603" s="181"/>
      <c r="J603" s="181"/>
      <c r="K603" s="182"/>
      <c r="L603" s="182"/>
    </row>
    <row r="604" spans="1:12" ht="15.75" customHeight="1">
      <c r="A604" s="180"/>
      <c r="B604" s="181"/>
      <c r="C604" s="181"/>
      <c r="D604" s="181"/>
      <c r="E604" s="181"/>
      <c r="F604" s="181"/>
      <c r="G604" s="181"/>
      <c r="H604" s="181"/>
      <c r="I604" s="181"/>
      <c r="J604" s="181"/>
      <c r="K604" s="182"/>
      <c r="L604" s="182"/>
    </row>
    <row r="605" spans="1:12" ht="15.75" customHeight="1">
      <c r="A605" s="180"/>
      <c r="B605" s="181"/>
      <c r="C605" s="181"/>
      <c r="D605" s="181"/>
      <c r="E605" s="181"/>
      <c r="F605" s="181"/>
      <c r="G605" s="181"/>
      <c r="H605" s="181"/>
      <c r="I605" s="181"/>
      <c r="J605" s="181"/>
      <c r="K605" s="182"/>
      <c r="L605" s="182"/>
    </row>
    <row r="606" spans="1:12" ht="15.75" customHeight="1">
      <c r="A606" s="180"/>
      <c r="B606" s="181"/>
      <c r="C606" s="181"/>
      <c r="D606" s="181"/>
      <c r="E606" s="181"/>
      <c r="F606" s="181"/>
      <c r="G606" s="181"/>
      <c r="H606" s="181"/>
      <c r="I606" s="181"/>
      <c r="J606" s="181"/>
      <c r="K606" s="182"/>
      <c r="L606" s="182"/>
    </row>
    <row r="607" spans="1:12" ht="15.75" customHeight="1">
      <c r="A607" s="180"/>
      <c r="B607" s="181"/>
      <c r="C607" s="181"/>
      <c r="D607" s="181"/>
      <c r="E607" s="181"/>
      <c r="F607" s="181"/>
      <c r="G607" s="181"/>
      <c r="H607" s="181"/>
      <c r="I607" s="181"/>
      <c r="J607" s="181"/>
      <c r="K607" s="182"/>
      <c r="L607" s="182"/>
    </row>
    <row r="608" spans="1:12" ht="15.75" customHeight="1">
      <c r="A608" s="180"/>
      <c r="B608" s="181"/>
      <c r="C608" s="181"/>
      <c r="D608" s="181"/>
      <c r="E608" s="181"/>
      <c r="F608" s="181"/>
      <c r="G608" s="181"/>
      <c r="H608" s="181"/>
      <c r="I608" s="181"/>
      <c r="J608" s="181"/>
      <c r="K608" s="182"/>
      <c r="L608" s="182"/>
    </row>
    <row r="609" spans="1:12" ht="15.75" customHeight="1">
      <c r="A609" s="180"/>
      <c r="B609" s="181"/>
      <c r="C609" s="181"/>
      <c r="D609" s="181"/>
      <c r="E609" s="181"/>
      <c r="F609" s="181"/>
      <c r="G609" s="181"/>
      <c r="H609" s="181"/>
      <c r="I609" s="181"/>
      <c r="J609" s="181"/>
      <c r="K609" s="182"/>
      <c r="L609" s="182"/>
    </row>
    <row r="610" spans="1:12" ht="15.75" customHeight="1">
      <c r="A610" s="180"/>
      <c r="B610" s="181"/>
      <c r="C610" s="181"/>
      <c r="D610" s="181"/>
      <c r="E610" s="181"/>
      <c r="F610" s="181"/>
      <c r="G610" s="181"/>
      <c r="H610" s="181"/>
      <c r="I610" s="181"/>
      <c r="J610" s="181"/>
      <c r="K610" s="182"/>
      <c r="L610" s="182"/>
    </row>
    <row r="611" spans="1:12" ht="15.75" customHeight="1">
      <c r="A611" s="180"/>
      <c r="B611" s="181"/>
      <c r="C611" s="181"/>
      <c r="D611" s="181"/>
      <c r="E611" s="181"/>
      <c r="F611" s="181"/>
      <c r="G611" s="181"/>
      <c r="H611" s="181"/>
      <c r="I611" s="181"/>
      <c r="J611" s="181"/>
      <c r="K611" s="182"/>
      <c r="L611" s="182"/>
    </row>
    <row r="612" spans="1:12" ht="15.75" customHeight="1">
      <c r="A612" s="180"/>
      <c r="B612" s="181"/>
      <c r="C612" s="181"/>
      <c r="D612" s="181"/>
      <c r="E612" s="181"/>
      <c r="F612" s="181"/>
      <c r="G612" s="181"/>
      <c r="H612" s="181"/>
      <c r="I612" s="181"/>
      <c r="J612" s="181"/>
      <c r="K612" s="182"/>
      <c r="L612" s="182"/>
    </row>
    <row r="613" spans="1:12" ht="15.75" customHeight="1">
      <c r="A613" s="180"/>
      <c r="B613" s="181"/>
      <c r="C613" s="181"/>
      <c r="D613" s="181"/>
      <c r="E613" s="181"/>
      <c r="F613" s="181"/>
      <c r="G613" s="181"/>
      <c r="H613" s="181"/>
      <c r="I613" s="181"/>
      <c r="J613" s="181"/>
      <c r="K613" s="182"/>
      <c r="L613" s="182"/>
    </row>
    <row r="614" spans="1:12" ht="15.75" customHeight="1">
      <c r="A614" s="180"/>
      <c r="B614" s="181"/>
      <c r="C614" s="181"/>
      <c r="D614" s="181"/>
      <c r="E614" s="181"/>
      <c r="F614" s="181"/>
      <c r="G614" s="181"/>
      <c r="H614" s="181"/>
      <c r="I614" s="181"/>
      <c r="J614" s="181"/>
      <c r="K614" s="182"/>
      <c r="L614" s="182"/>
    </row>
    <row r="615" spans="1:12" ht="15.75" customHeight="1">
      <c r="A615" s="180"/>
      <c r="B615" s="181"/>
      <c r="C615" s="181"/>
      <c r="D615" s="181"/>
      <c r="E615" s="181"/>
      <c r="F615" s="181"/>
      <c r="G615" s="181"/>
      <c r="H615" s="181"/>
      <c r="I615" s="181"/>
      <c r="J615" s="181"/>
      <c r="K615" s="182"/>
      <c r="L615" s="182"/>
    </row>
    <row r="616" spans="1:12" ht="15.75" customHeight="1">
      <c r="A616" s="180"/>
      <c r="B616" s="181"/>
      <c r="C616" s="181"/>
      <c r="D616" s="181"/>
      <c r="E616" s="181"/>
      <c r="F616" s="181"/>
      <c r="G616" s="181"/>
      <c r="H616" s="181"/>
      <c r="I616" s="181"/>
      <c r="J616" s="181"/>
      <c r="K616" s="182"/>
      <c r="L616" s="182"/>
    </row>
    <row r="617" spans="1:12" ht="15.75" customHeight="1">
      <c r="A617" s="180"/>
      <c r="B617" s="181"/>
      <c r="C617" s="181"/>
      <c r="D617" s="181"/>
      <c r="E617" s="181"/>
      <c r="F617" s="181"/>
      <c r="G617" s="181"/>
      <c r="H617" s="181"/>
      <c r="I617" s="181"/>
      <c r="J617" s="181"/>
      <c r="K617" s="182"/>
      <c r="L617" s="182"/>
    </row>
    <row r="618" spans="1:12" ht="15.75" customHeight="1">
      <c r="A618" s="180"/>
      <c r="B618" s="181"/>
      <c r="C618" s="181"/>
      <c r="D618" s="181"/>
      <c r="E618" s="181"/>
      <c r="F618" s="181"/>
      <c r="G618" s="181"/>
      <c r="H618" s="181"/>
      <c r="I618" s="181"/>
      <c r="J618" s="181"/>
      <c r="K618" s="182"/>
      <c r="L618" s="182"/>
    </row>
    <row r="619" spans="1:12" ht="15.75" customHeight="1">
      <c r="A619" s="180"/>
      <c r="B619" s="181"/>
      <c r="C619" s="181"/>
      <c r="D619" s="181"/>
      <c r="E619" s="181"/>
      <c r="F619" s="181"/>
      <c r="G619" s="181"/>
      <c r="H619" s="181"/>
      <c r="I619" s="181"/>
      <c r="J619" s="181"/>
      <c r="K619" s="182"/>
      <c r="L619" s="182"/>
    </row>
    <row r="620" spans="1:12" ht="15.75" customHeight="1">
      <c r="A620" s="180"/>
      <c r="B620" s="181"/>
      <c r="C620" s="181"/>
      <c r="D620" s="181"/>
      <c r="E620" s="181"/>
      <c r="F620" s="181"/>
      <c r="G620" s="181"/>
      <c r="H620" s="181"/>
      <c r="I620" s="181"/>
      <c r="J620" s="181"/>
      <c r="K620" s="182"/>
      <c r="L620" s="182"/>
    </row>
    <row r="621" spans="1:12" ht="15.75" customHeight="1">
      <c r="A621" s="180"/>
      <c r="B621" s="181"/>
      <c r="C621" s="181"/>
      <c r="D621" s="181"/>
      <c r="E621" s="181"/>
      <c r="F621" s="181"/>
      <c r="G621" s="181"/>
      <c r="H621" s="181"/>
      <c r="I621" s="181"/>
      <c r="J621" s="181"/>
      <c r="K621" s="182"/>
      <c r="L621" s="182"/>
    </row>
    <row r="622" spans="1:12" ht="15.75" customHeight="1">
      <c r="A622" s="180"/>
      <c r="B622" s="181"/>
      <c r="C622" s="181"/>
      <c r="D622" s="181"/>
      <c r="E622" s="181"/>
      <c r="F622" s="181"/>
      <c r="G622" s="181"/>
      <c r="H622" s="181"/>
      <c r="I622" s="181"/>
      <c r="J622" s="181"/>
      <c r="K622" s="182"/>
      <c r="L622" s="182"/>
    </row>
    <row r="623" spans="1:12" ht="15.75" customHeight="1">
      <c r="A623" s="180"/>
      <c r="B623" s="181"/>
      <c r="C623" s="181"/>
      <c r="D623" s="181"/>
      <c r="E623" s="181"/>
      <c r="F623" s="181"/>
      <c r="G623" s="181"/>
      <c r="H623" s="181"/>
      <c r="I623" s="181"/>
      <c r="J623" s="181"/>
      <c r="K623" s="182"/>
      <c r="L623" s="182"/>
    </row>
    <row r="624" spans="1:12" ht="15.75" customHeight="1">
      <c r="A624" s="180"/>
      <c r="B624" s="181"/>
      <c r="C624" s="181"/>
      <c r="D624" s="181"/>
      <c r="E624" s="181"/>
      <c r="F624" s="181"/>
      <c r="G624" s="181"/>
      <c r="H624" s="181"/>
      <c r="I624" s="181"/>
      <c r="J624" s="181"/>
      <c r="K624" s="182"/>
      <c r="L624" s="182"/>
    </row>
    <row r="625" spans="1:12" ht="15.75" customHeight="1">
      <c r="A625" s="180"/>
      <c r="B625" s="181"/>
      <c r="C625" s="181"/>
      <c r="D625" s="181"/>
      <c r="E625" s="181"/>
      <c r="F625" s="181"/>
      <c r="G625" s="181"/>
      <c r="H625" s="181"/>
      <c r="I625" s="181"/>
      <c r="J625" s="181"/>
      <c r="K625" s="182"/>
      <c r="L625" s="182"/>
    </row>
    <row r="626" spans="1:12" ht="15.75" customHeight="1">
      <c r="A626" s="180"/>
      <c r="B626" s="181"/>
      <c r="C626" s="181"/>
      <c r="D626" s="181"/>
      <c r="E626" s="181"/>
      <c r="F626" s="181"/>
      <c r="G626" s="181"/>
      <c r="H626" s="181"/>
      <c r="I626" s="181"/>
      <c r="J626" s="181"/>
      <c r="K626" s="182"/>
      <c r="L626" s="182"/>
    </row>
    <row r="627" spans="1:12" ht="15.75" customHeight="1">
      <c r="A627" s="180"/>
      <c r="B627" s="181"/>
      <c r="C627" s="181"/>
      <c r="D627" s="181"/>
      <c r="E627" s="181"/>
      <c r="F627" s="181"/>
      <c r="G627" s="181"/>
      <c r="H627" s="181"/>
      <c r="I627" s="181"/>
      <c r="J627" s="181"/>
      <c r="K627" s="182"/>
      <c r="L627" s="182"/>
    </row>
    <row r="628" spans="1:12" ht="15.75" customHeight="1">
      <c r="A628" s="180"/>
      <c r="B628" s="181"/>
      <c r="C628" s="181"/>
      <c r="D628" s="181"/>
      <c r="E628" s="181"/>
      <c r="F628" s="181"/>
      <c r="G628" s="181"/>
      <c r="H628" s="181"/>
      <c r="I628" s="181"/>
      <c r="J628" s="181"/>
      <c r="K628" s="182"/>
      <c r="L628" s="182"/>
    </row>
    <row r="629" spans="1:12" ht="15.75" customHeight="1">
      <c r="A629" s="180"/>
      <c r="B629" s="181"/>
      <c r="C629" s="181"/>
      <c r="D629" s="181"/>
      <c r="E629" s="181"/>
      <c r="F629" s="181"/>
      <c r="G629" s="181"/>
      <c r="H629" s="181"/>
      <c r="I629" s="181"/>
      <c r="J629" s="181"/>
      <c r="K629" s="182"/>
      <c r="L629" s="182"/>
    </row>
    <row r="630" spans="1:12" ht="15.75" customHeight="1">
      <c r="A630" s="180"/>
      <c r="B630" s="181"/>
      <c r="C630" s="181"/>
      <c r="D630" s="181"/>
      <c r="E630" s="181"/>
      <c r="F630" s="181"/>
      <c r="G630" s="181"/>
      <c r="H630" s="181"/>
      <c r="I630" s="181"/>
      <c r="J630" s="181"/>
      <c r="K630" s="182"/>
      <c r="L630" s="182"/>
    </row>
    <row r="631" spans="1:12" ht="15.75" customHeight="1">
      <c r="A631" s="180"/>
      <c r="B631" s="181"/>
      <c r="C631" s="181"/>
      <c r="D631" s="181"/>
      <c r="E631" s="181"/>
      <c r="F631" s="181"/>
      <c r="G631" s="181"/>
      <c r="H631" s="181"/>
      <c r="I631" s="181"/>
      <c r="J631" s="181"/>
      <c r="K631" s="182"/>
      <c r="L631" s="182"/>
    </row>
    <row r="632" spans="1:12" ht="15.75" customHeight="1">
      <c r="A632" s="180"/>
      <c r="B632" s="181"/>
      <c r="C632" s="181"/>
      <c r="D632" s="181"/>
      <c r="E632" s="181"/>
      <c r="F632" s="181"/>
      <c r="G632" s="181"/>
      <c r="H632" s="181"/>
      <c r="I632" s="181"/>
      <c r="J632" s="181"/>
      <c r="K632" s="182"/>
      <c r="L632" s="182"/>
    </row>
    <row r="633" spans="1:12" ht="15.75" customHeight="1">
      <c r="A633" s="180"/>
      <c r="B633" s="181"/>
      <c r="C633" s="181"/>
      <c r="D633" s="181"/>
      <c r="E633" s="181"/>
      <c r="F633" s="181"/>
      <c r="G633" s="181"/>
      <c r="H633" s="181"/>
      <c r="I633" s="181"/>
      <c r="J633" s="181"/>
      <c r="K633" s="182"/>
      <c r="L633" s="182"/>
    </row>
    <row r="634" spans="1:12" ht="15.75" customHeight="1">
      <c r="A634" s="180"/>
      <c r="B634" s="181"/>
      <c r="C634" s="181"/>
      <c r="D634" s="181"/>
      <c r="E634" s="181"/>
      <c r="F634" s="181"/>
      <c r="G634" s="181"/>
      <c r="H634" s="181"/>
      <c r="I634" s="181"/>
      <c r="J634" s="181"/>
      <c r="K634" s="182"/>
      <c r="L634" s="182"/>
    </row>
    <row r="635" spans="1:12" ht="15.75" customHeight="1">
      <c r="A635" s="180"/>
      <c r="B635" s="181"/>
      <c r="C635" s="181"/>
      <c r="D635" s="181"/>
      <c r="E635" s="181"/>
      <c r="F635" s="181"/>
      <c r="G635" s="181"/>
      <c r="H635" s="181"/>
      <c r="I635" s="181"/>
      <c r="J635" s="181"/>
      <c r="K635" s="182"/>
      <c r="L635" s="182"/>
    </row>
    <row r="636" spans="1:12" ht="15.75" customHeight="1">
      <c r="A636" s="180"/>
      <c r="B636" s="181"/>
      <c r="C636" s="181"/>
      <c r="D636" s="181"/>
      <c r="E636" s="181"/>
      <c r="F636" s="181"/>
      <c r="G636" s="181"/>
      <c r="H636" s="181"/>
      <c r="I636" s="181"/>
      <c r="J636" s="181"/>
      <c r="K636" s="182"/>
      <c r="L636" s="182"/>
    </row>
    <row r="637" spans="1:12" ht="15.75" customHeight="1">
      <c r="A637" s="180"/>
      <c r="B637" s="181"/>
      <c r="C637" s="181"/>
      <c r="D637" s="181"/>
      <c r="E637" s="181"/>
      <c r="F637" s="181"/>
      <c r="G637" s="181"/>
      <c r="H637" s="181"/>
      <c r="I637" s="181"/>
      <c r="J637" s="181"/>
      <c r="K637" s="182"/>
      <c r="L637" s="182"/>
    </row>
    <row r="638" spans="1:12" ht="15.75" customHeight="1">
      <c r="A638" s="180"/>
      <c r="B638" s="181"/>
      <c r="C638" s="181"/>
      <c r="D638" s="181"/>
      <c r="E638" s="181"/>
      <c r="F638" s="181"/>
      <c r="G638" s="181"/>
      <c r="H638" s="181"/>
      <c r="I638" s="181"/>
      <c r="J638" s="181"/>
      <c r="K638" s="182"/>
      <c r="L638" s="182"/>
    </row>
    <row r="639" spans="1:12" ht="15.75" customHeight="1">
      <c r="A639" s="180"/>
      <c r="B639" s="181"/>
      <c r="C639" s="181"/>
      <c r="D639" s="181"/>
      <c r="E639" s="181"/>
      <c r="F639" s="181"/>
      <c r="G639" s="181"/>
      <c r="H639" s="181"/>
      <c r="I639" s="181"/>
      <c r="J639" s="181"/>
      <c r="K639" s="182"/>
      <c r="L639" s="182"/>
    </row>
    <row r="640" spans="1:12" ht="15.75" customHeight="1">
      <c r="A640" s="180"/>
      <c r="B640" s="181"/>
      <c r="C640" s="181"/>
      <c r="D640" s="181"/>
      <c r="E640" s="181"/>
      <c r="F640" s="181"/>
      <c r="G640" s="181"/>
      <c r="H640" s="181"/>
      <c r="I640" s="181"/>
      <c r="J640" s="181"/>
      <c r="K640" s="182"/>
      <c r="L640" s="182"/>
    </row>
    <row r="641" spans="1:12" ht="15.75" customHeight="1">
      <c r="A641" s="180"/>
      <c r="B641" s="181"/>
      <c r="C641" s="181"/>
      <c r="D641" s="181"/>
      <c r="E641" s="181"/>
      <c r="F641" s="181"/>
      <c r="G641" s="181"/>
      <c r="H641" s="181"/>
      <c r="I641" s="181"/>
      <c r="J641" s="181"/>
      <c r="K641" s="182"/>
      <c r="L641" s="182"/>
    </row>
    <row r="642" spans="1:12" ht="15.75" customHeight="1">
      <c r="A642" s="180"/>
      <c r="B642" s="181"/>
      <c r="C642" s="181"/>
      <c r="D642" s="181"/>
      <c r="E642" s="181"/>
      <c r="F642" s="181"/>
      <c r="G642" s="181"/>
      <c r="H642" s="181"/>
      <c r="I642" s="181"/>
      <c r="J642" s="181"/>
      <c r="K642" s="182"/>
      <c r="L642" s="182"/>
    </row>
    <row r="643" spans="1:12" ht="15.75" customHeight="1">
      <c r="A643" s="180"/>
      <c r="B643" s="181"/>
      <c r="C643" s="181"/>
      <c r="D643" s="181"/>
      <c r="E643" s="181"/>
      <c r="F643" s="181"/>
      <c r="G643" s="181"/>
      <c r="H643" s="181"/>
      <c r="I643" s="181"/>
      <c r="J643" s="181"/>
      <c r="K643" s="182"/>
      <c r="L643" s="182"/>
    </row>
    <row r="644" spans="1:12" ht="15.75" customHeight="1">
      <c r="A644" s="180"/>
      <c r="B644" s="181"/>
      <c r="C644" s="181"/>
      <c r="D644" s="181"/>
      <c r="E644" s="181"/>
      <c r="F644" s="181"/>
      <c r="G644" s="181"/>
      <c r="H644" s="181"/>
      <c r="I644" s="181"/>
      <c r="J644" s="181"/>
      <c r="K644" s="182"/>
      <c r="L644" s="182"/>
    </row>
    <row r="645" spans="1:12" ht="15.75" customHeight="1">
      <c r="A645" s="180"/>
      <c r="B645" s="181"/>
      <c r="C645" s="181"/>
      <c r="D645" s="181"/>
      <c r="E645" s="181"/>
      <c r="F645" s="181"/>
      <c r="G645" s="181"/>
      <c r="H645" s="181"/>
      <c r="I645" s="181"/>
      <c r="J645" s="181"/>
      <c r="K645" s="182"/>
      <c r="L645" s="182"/>
    </row>
    <row r="646" spans="1:12" ht="15.75" customHeight="1">
      <c r="A646" s="180"/>
      <c r="B646" s="181"/>
      <c r="C646" s="181"/>
      <c r="D646" s="181"/>
      <c r="E646" s="181"/>
      <c r="F646" s="181"/>
      <c r="G646" s="181"/>
      <c r="H646" s="181"/>
      <c r="I646" s="181"/>
      <c r="J646" s="181"/>
      <c r="K646" s="182"/>
      <c r="L646" s="182"/>
    </row>
    <row r="647" spans="1:12" ht="15.75" customHeight="1">
      <c r="A647" s="180"/>
      <c r="B647" s="181"/>
      <c r="C647" s="181"/>
      <c r="D647" s="181"/>
      <c r="E647" s="181"/>
      <c r="F647" s="181"/>
      <c r="G647" s="181"/>
      <c r="H647" s="181"/>
      <c r="I647" s="181"/>
      <c r="J647" s="181"/>
      <c r="K647" s="182"/>
      <c r="L647" s="182"/>
    </row>
    <row r="648" spans="1:12" ht="15.75" customHeight="1">
      <c r="A648" s="180"/>
      <c r="B648" s="181"/>
      <c r="C648" s="181"/>
      <c r="D648" s="181"/>
      <c r="E648" s="181"/>
      <c r="F648" s="181"/>
      <c r="G648" s="181"/>
      <c r="H648" s="181"/>
      <c r="I648" s="181"/>
      <c r="J648" s="181"/>
      <c r="K648" s="182"/>
      <c r="L648" s="182"/>
    </row>
    <row r="649" spans="1:12" ht="15.75" customHeight="1">
      <c r="A649" s="180"/>
      <c r="B649" s="181"/>
      <c r="C649" s="181"/>
      <c r="D649" s="181"/>
      <c r="E649" s="181"/>
      <c r="F649" s="181"/>
      <c r="G649" s="181"/>
      <c r="H649" s="181"/>
      <c r="I649" s="181"/>
      <c r="J649" s="181"/>
      <c r="K649" s="182"/>
      <c r="L649" s="182"/>
    </row>
    <row r="650" spans="1:12" ht="15.75" customHeight="1">
      <c r="A650" s="180"/>
      <c r="B650" s="181"/>
      <c r="C650" s="181"/>
      <c r="D650" s="181"/>
      <c r="E650" s="181"/>
      <c r="F650" s="181"/>
      <c r="G650" s="181"/>
      <c r="H650" s="181"/>
      <c r="I650" s="181"/>
      <c r="J650" s="181"/>
      <c r="K650" s="182"/>
      <c r="L650" s="182"/>
    </row>
    <row r="651" spans="1:12" ht="15.75" customHeight="1">
      <c r="A651" s="180"/>
      <c r="B651" s="181"/>
      <c r="C651" s="181"/>
      <c r="D651" s="181"/>
      <c r="E651" s="181"/>
      <c r="F651" s="181"/>
      <c r="G651" s="181"/>
      <c r="H651" s="181"/>
      <c r="I651" s="181"/>
      <c r="J651" s="181"/>
      <c r="K651" s="182"/>
      <c r="L651" s="182"/>
    </row>
    <row r="652" spans="1:12" ht="15.75" customHeight="1">
      <c r="A652" s="180"/>
      <c r="B652" s="181"/>
      <c r="C652" s="181"/>
      <c r="D652" s="181"/>
      <c r="E652" s="181"/>
      <c r="F652" s="181"/>
      <c r="G652" s="181"/>
      <c r="H652" s="181"/>
      <c r="I652" s="181"/>
      <c r="J652" s="181"/>
      <c r="K652" s="182"/>
      <c r="L652" s="182"/>
    </row>
    <row r="653" spans="1:12" ht="15.75" customHeight="1">
      <c r="A653" s="180"/>
      <c r="B653" s="181"/>
      <c r="C653" s="181"/>
      <c r="D653" s="181"/>
      <c r="E653" s="181"/>
      <c r="F653" s="181"/>
      <c r="G653" s="181"/>
      <c r="H653" s="181"/>
      <c r="I653" s="181"/>
      <c r="J653" s="181"/>
      <c r="K653" s="182"/>
      <c r="L653" s="182"/>
    </row>
    <row r="654" spans="1:12" ht="15.75" customHeight="1">
      <c r="A654" s="180"/>
      <c r="B654" s="181"/>
      <c r="C654" s="181"/>
      <c r="D654" s="181"/>
      <c r="E654" s="181"/>
      <c r="F654" s="181"/>
      <c r="G654" s="181"/>
      <c r="H654" s="181"/>
      <c r="I654" s="181"/>
      <c r="J654" s="181"/>
      <c r="K654" s="182"/>
      <c r="L654" s="182"/>
    </row>
    <row r="655" spans="1:12" ht="15.75" customHeight="1">
      <c r="A655" s="180"/>
      <c r="B655" s="181"/>
      <c r="C655" s="181"/>
      <c r="D655" s="181"/>
      <c r="E655" s="181"/>
      <c r="F655" s="181"/>
      <c r="G655" s="181"/>
      <c r="H655" s="181"/>
      <c r="I655" s="181"/>
      <c r="J655" s="181"/>
      <c r="K655" s="182"/>
      <c r="L655" s="182"/>
    </row>
    <row r="656" spans="1:12" ht="15.75" customHeight="1">
      <c r="A656" s="180"/>
      <c r="B656" s="181"/>
      <c r="C656" s="181"/>
      <c r="D656" s="181"/>
      <c r="E656" s="181"/>
      <c r="F656" s="181"/>
      <c r="G656" s="181"/>
      <c r="H656" s="181"/>
      <c r="I656" s="181"/>
      <c r="J656" s="181"/>
      <c r="K656" s="182"/>
      <c r="L656" s="182"/>
    </row>
    <row r="657" spans="1:12" ht="15.75" customHeight="1">
      <c r="A657" s="180"/>
      <c r="B657" s="181"/>
      <c r="C657" s="181"/>
      <c r="D657" s="181"/>
      <c r="E657" s="181"/>
      <c r="F657" s="181"/>
      <c r="G657" s="181"/>
      <c r="H657" s="181"/>
      <c r="I657" s="181"/>
      <c r="J657" s="181"/>
      <c r="K657" s="182"/>
      <c r="L657" s="182"/>
    </row>
    <row r="658" spans="1:12" ht="15.75" customHeight="1">
      <c r="A658" s="180"/>
      <c r="B658" s="181"/>
      <c r="C658" s="181"/>
      <c r="D658" s="181"/>
      <c r="E658" s="181"/>
      <c r="F658" s="181"/>
      <c r="G658" s="181"/>
      <c r="H658" s="181"/>
      <c r="I658" s="181"/>
      <c r="J658" s="181"/>
      <c r="K658" s="182"/>
      <c r="L658" s="182"/>
    </row>
    <row r="659" spans="1:12" ht="15.75" customHeight="1">
      <c r="A659" s="180"/>
      <c r="B659" s="181"/>
      <c r="C659" s="181"/>
      <c r="D659" s="181"/>
      <c r="E659" s="181"/>
      <c r="F659" s="181"/>
      <c r="G659" s="181"/>
      <c r="H659" s="181"/>
      <c r="I659" s="181"/>
      <c r="J659" s="181"/>
      <c r="K659" s="182"/>
      <c r="L659" s="182"/>
    </row>
    <row r="660" spans="1:12" ht="15.75" customHeight="1">
      <c r="A660" s="180"/>
      <c r="B660" s="181"/>
      <c r="C660" s="181"/>
      <c r="D660" s="181"/>
      <c r="E660" s="181"/>
      <c r="F660" s="181"/>
      <c r="G660" s="181"/>
      <c r="H660" s="181"/>
      <c r="I660" s="181"/>
      <c r="J660" s="181"/>
      <c r="K660" s="182"/>
      <c r="L660" s="182"/>
    </row>
    <row r="661" spans="1:12" ht="15.75" customHeight="1">
      <c r="A661" s="180"/>
      <c r="B661" s="181"/>
      <c r="C661" s="181"/>
      <c r="D661" s="181"/>
      <c r="E661" s="181"/>
      <c r="F661" s="181"/>
      <c r="G661" s="181"/>
      <c r="H661" s="181"/>
      <c r="I661" s="181"/>
      <c r="J661" s="181"/>
      <c r="K661" s="182"/>
      <c r="L661" s="182"/>
    </row>
    <row r="662" spans="1:12" ht="15.75" customHeight="1">
      <c r="A662" s="180"/>
      <c r="B662" s="181"/>
      <c r="C662" s="181"/>
      <c r="D662" s="181"/>
      <c r="E662" s="181"/>
      <c r="F662" s="181"/>
      <c r="G662" s="181"/>
      <c r="H662" s="181"/>
      <c r="I662" s="181"/>
      <c r="J662" s="181"/>
      <c r="K662" s="182"/>
      <c r="L662" s="182"/>
    </row>
    <row r="663" spans="1:12" ht="15.75" customHeight="1">
      <c r="A663" s="180"/>
      <c r="B663" s="181"/>
      <c r="C663" s="181"/>
      <c r="D663" s="181"/>
      <c r="E663" s="181"/>
      <c r="F663" s="181"/>
      <c r="G663" s="181"/>
      <c r="H663" s="181"/>
      <c r="I663" s="181"/>
      <c r="J663" s="181"/>
      <c r="K663" s="182"/>
      <c r="L663" s="182"/>
    </row>
    <row r="664" spans="1:12" ht="15.75" customHeight="1">
      <c r="A664" s="180"/>
      <c r="B664" s="181"/>
      <c r="C664" s="181"/>
      <c r="D664" s="181"/>
      <c r="E664" s="181"/>
      <c r="F664" s="181"/>
      <c r="G664" s="181"/>
      <c r="H664" s="181"/>
      <c r="I664" s="181"/>
      <c r="J664" s="181"/>
      <c r="K664" s="182"/>
      <c r="L664" s="182"/>
    </row>
    <row r="665" spans="1:12" ht="15.75" customHeight="1">
      <c r="A665" s="180"/>
      <c r="B665" s="181"/>
      <c r="C665" s="181"/>
      <c r="D665" s="181"/>
      <c r="E665" s="181"/>
      <c r="F665" s="181"/>
      <c r="G665" s="181"/>
      <c r="H665" s="181"/>
      <c r="I665" s="181"/>
      <c r="J665" s="181"/>
      <c r="K665" s="182"/>
      <c r="L665" s="182"/>
    </row>
    <row r="666" spans="1:12" ht="15.75" customHeight="1">
      <c r="A666" s="180"/>
      <c r="B666" s="181"/>
      <c r="C666" s="181"/>
      <c r="D666" s="181"/>
      <c r="E666" s="181"/>
      <c r="F666" s="181"/>
      <c r="G666" s="181"/>
      <c r="H666" s="181"/>
      <c r="I666" s="181"/>
      <c r="J666" s="181"/>
      <c r="K666" s="182"/>
      <c r="L666" s="182"/>
    </row>
    <row r="667" spans="1:12" ht="15.75" customHeight="1">
      <c r="A667" s="180"/>
      <c r="B667" s="181"/>
      <c r="C667" s="181"/>
      <c r="D667" s="181"/>
      <c r="E667" s="181"/>
      <c r="F667" s="181"/>
      <c r="G667" s="181"/>
      <c r="H667" s="181"/>
      <c r="I667" s="181"/>
      <c r="J667" s="181"/>
      <c r="K667" s="182"/>
      <c r="L667" s="182"/>
    </row>
    <row r="668" spans="1:12" ht="15.75" customHeight="1">
      <c r="A668" s="180"/>
      <c r="B668" s="181"/>
      <c r="C668" s="181"/>
      <c r="D668" s="181"/>
      <c r="E668" s="181"/>
      <c r="F668" s="181"/>
      <c r="G668" s="181"/>
      <c r="H668" s="181"/>
      <c r="I668" s="181"/>
      <c r="J668" s="181"/>
      <c r="K668" s="182"/>
      <c r="L668" s="182"/>
    </row>
    <row r="669" spans="1:12" ht="15.75" customHeight="1">
      <c r="A669" s="180"/>
      <c r="B669" s="181"/>
      <c r="C669" s="181"/>
      <c r="D669" s="181"/>
      <c r="E669" s="181"/>
      <c r="F669" s="181"/>
      <c r="G669" s="181"/>
      <c r="H669" s="181"/>
      <c r="I669" s="181"/>
      <c r="J669" s="181"/>
      <c r="K669" s="182"/>
      <c r="L669" s="182"/>
    </row>
    <row r="670" spans="1:12" ht="15.75" customHeight="1">
      <c r="A670" s="180"/>
      <c r="B670" s="181"/>
      <c r="C670" s="181"/>
      <c r="D670" s="181"/>
      <c r="E670" s="181"/>
      <c r="F670" s="181"/>
      <c r="G670" s="181"/>
      <c r="H670" s="181"/>
      <c r="I670" s="181"/>
      <c r="J670" s="181"/>
      <c r="K670" s="182"/>
      <c r="L670" s="182"/>
    </row>
    <row r="671" spans="1:12" ht="15.75" customHeight="1">
      <c r="A671" s="180"/>
      <c r="B671" s="181"/>
      <c r="C671" s="181"/>
      <c r="D671" s="181"/>
      <c r="E671" s="181"/>
      <c r="F671" s="181"/>
      <c r="G671" s="181"/>
      <c r="H671" s="181"/>
      <c r="I671" s="181"/>
      <c r="J671" s="181"/>
      <c r="K671" s="182"/>
      <c r="L671" s="182"/>
    </row>
    <row r="672" spans="1:12" ht="15.75" customHeight="1">
      <c r="A672" s="180"/>
      <c r="B672" s="181"/>
      <c r="C672" s="181"/>
      <c r="D672" s="181"/>
      <c r="E672" s="181"/>
      <c r="F672" s="181"/>
      <c r="G672" s="181"/>
      <c r="H672" s="181"/>
      <c r="I672" s="181"/>
      <c r="J672" s="181"/>
      <c r="K672" s="182"/>
      <c r="L672" s="182"/>
    </row>
    <row r="673" spans="1:12" ht="15.75" customHeight="1">
      <c r="A673" s="180"/>
      <c r="B673" s="181"/>
      <c r="C673" s="181"/>
      <c r="D673" s="181"/>
      <c r="E673" s="181"/>
      <c r="F673" s="181"/>
      <c r="G673" s="181"/>
      <c r="H673" s="181"/>
      <c r="I673" s="181"/>
      <c r="J673" s="181"/>
      <c r="K673" s="182"/>
      <c r="L673" s="182"/>
    </row>
    <row r="674" spans="1:12" ht="15.75" customHeight="1">
      <c r="A674" s="180"/>
      <c r="B674" s="181"/>
      <c r="C674" s="181"/>
      <c r="D674" s="181"/>
      <c r="E674" s="181"/>
      <c r="F674" s="181"/>
      <c r="G674" s="181"/>
      <c r="H674" s="181"/>
      <c r="I674" s="181"/>
      <c r="J674" s="181"/>
      <c r="K674" s="182"/>
      <c r="L674" s="182"/>
    </row>
    <row r="675" spans="1:12" ht="15.75" customHeight="1">
      <c r="A675" s="180"/>
      <c r="B675" s="181"/>
      <c r="C675" s="181"/>
      <c r="D675" s="181"/>
      <c r="E675" s="181"/>
      <c r="F675" s="181"/>
      <c r="G675" s="181"/>
      <c r="H675" s="181"/>
      <c r="I675" s="181"/>
      <c r="J675" s="181"/>
      <c r="K675" s="182"/>
      <c r="L675" s="182"/>
    </row>
    <row r="676" spans="1:12" ht="15.75" customHeight="1">
      <c r="A676" s="180"/>
      <c r="B676" s="181"/>
      <c r="C676" s="181"/>
      <c r="D676" s="181"/>
      <c r="E676" s="181"/>
      <c r="F676" s="181"/>
      <c r="G676" s="181"/>
      <c r="H676" s="181"/>
      <c r="I676" s="181"/>
      <c r="J676" s="181"/>
      <c r="K676" s="182"/>
      <c r="L676" s="182"/>
    </row>
    <row r="677" spans="1:12" ht="15.75" customHeight="1">
      <c r="A677" s="180"/>
      <c r="B677" s="181"/>
      <c r="C677" s="181"/>
      <c r="D677" s="181"/>
      <c r="E677" s="181"/>
      <c r="F677" s="181"/>
      <c r="G677" s="181"/>
      <c r="H677" s="181"/>
      <c r="I677" s="181"/>
      <c r="J677" s="181"/>
      <c r="K677" s="182"/>
      <c r="L677" s="182"/>
    </row>
    <row r="678" spans="1:12" ht="15.75" customHeight="1">
      <c r="A678" s="180"/>
      <c r="B678" s="181"/>
      <c r="C678" s="181"/>
      <c r="D678" s="181"/>
      <c r="E678" s="181"/>
      <c r="F678" s="181"/>
      <c r="G678" s="181"/>
      <c r="H678" s="181"/>
      <c r="I678" s="181"/>
      <c r="J678" s="181"/>
      <c r="K678" s="182"/>
      <c r="L678" s="182"/>
    </row>
    <row r="679" spans="1:12" ht="15.75" customHeight="1">
      <c r="A679" s="180"/>
      <c r="B679" s="181"/>
      <c r="C679" s="181"/>
      <c r="D679" s="181"/>
      <c r="E679" s="181"/>
      <c r="F679" s="181"/>
      <c r="G679" s="181"/>
      <c r="H679" s="181"/>
      <c r="I679" s="181"/>
      <c r="J679" s="181"/>
      <c r="K679" s="182"/>
      <c r="L679" s="182"/>
    </row>
    <row r="680" spans="1:12" ht="15.75" customHeight="1">
      <c r="A680" s="180"/>
      <c r="B680" s="181"/>
      <c r="C680" s="181"/>
      <c r="D680" s="181"/>
      <c r="E680" s="181"/>
      <c r="F680" s="181"/>
      <c r="G680" s="181"/>
      <c r="H680" s="181"/>
      <c r="I680" s="181"/>
      <c r="J680" s="181"/>
      <c r="K680" s="182"/>
      <c r="L680" s="182"/>
    </row>
    <row r="681" spans="1:12" ht="15.75" customHeight="1">
      <c r="A681" s="180"/>
      <c r="B681" s="181"/>
      <c r="C681" s="181"/>
      <c r="D681" s="181"/>
      <c r="E681" s="181"/>
      <c r="F681" s="181"/>
      <c r="G681" s="181"/>
      <c r="H681" s="181"/>
      <c r="I681" s="181"/>
      <c r="J681" s="181"/>
      <c r="K681" s="182"/>
      <c r="L681" s="182"/>
    </row>
    <row r="682" spans="1:12" ht="15.75" customHeight="1">
      <c r="A682" s="180"/>
      <c r="B682" s="181"/>
      <c r="C682" s="181"/>
      <c r="D682" s="181"/>
      <c r="E682" s="181"/>
      <c r="F682" s="181"/>
      <c r="G682" s="181"/>
      <c r="H682" s="181"/>
      <c r="I682" s="181"/>
      <c r="J682" s="181"/>
      <c r="K682" s="182"/>
      <c r="L682" s="182"/>
    </row>
    <row r="683" spans="1:12" ht="15.75" customHeight="1">
      <c r="A683" s="180"/>
      <c r="B683" s="181"/>
      <c r="C683" s="181"/>
      <c r="D683" s="181"/>
      <c r="E683" s="181"/>
      <c r="F683" s="181"/>
      <c r="G683" s="181"/>
      <c r="H683" s="181"/>
      <c r="I683" s="181"/>
      <c r="J683" s="181"/>
      <c r="K683" s="182"/>
      <c r="L683" s="182"/>
    </row>
    <row r="684" spans="1:12" ht="15.75" customHeight="1">
      <c r="A684" s="180"/>
      <c r="B684" s="181"/>
      <c r="C684" s="181"/>
      <c r="D684" s="181"/>
      <c r="E684" s="181"/>
      <c r="F684" s="181"/>
      <c r="G684" s="181"/>
      <c r="H684" s="181"/>
      <c r="I684" s="181"/>
      <c r="J684" s="181"/>
      <c r="K684" s="182"/>
      <c r="L684" s="182"/>
    </row>
    <row r="685" spans="1:12" ht="15.75" customHeight="1">
      <c r="A685" s="180"/>
      <c r="B685" s="181"/>
      <c r="C685" s="181"/>
      <c r="D685" s="181"/>
      <c r="E685" s="181"/>
      <c r="F685" s="181"/>
      <c r="G685" s="181"/>
      <c r="H685" s="181"/>
      <c r="I685" s="181"/>
      <c r="J685" s="181"/>
      <c r="K685" s="182"/>
      <c r="L685" s="182"/>
    </row>
    <row r="686" spans="1:12" ht="15.75" customHeight="1">
      <c r="A686" s="180"/>
      <c r="B686" s="181"/>
      <c r="C686" s="181"/>
      <c r="D686" s="181"/>
      <c r="E686" s="181"/>
      <c r="F686" s="181"/>
      <c r="G686" s="181"/>
      <c r="H686" s="181"/>
      <c r="I686" s="181"/>
      <c r="J686" s="181"/>
      <c r="K686" s="182"/>
      <c r="L686" s="182"/>
    </row>
    <row r="687" spans="1:12" ht="15.75" customHeight="1">
      <c r="A687" s="180"/>
      <c r="B687" s="181"/>
      <c r="C687" s="181"/>
      <c r="D687" s="181"/>
      <c r="E687" s="181"/>
      <c r="F687" s="181"/>
      <c r="G687" s="181"/>
      <c r="H687" s="181"/>
      <c r="I687" s="181"/>
      <c r="J687" s="181"/>
      <c r="K687" s="182"/>
      <c r="L687" s="182"/>
    </row>
    <row r="688" spans="1:12" ht="15.75" customHeight="1">
      <c r="A688" s="180"/>
      <c r="B688" s="181"/>
      <c r="C688" s="181"/>
      <c r="D688" s="181"/>
      <c r="E688" s="181"/>
      <c r="F688" s="181"/>
      <c r="G688" s="181"/>
      <c r="H688" s="181"/>
      <c r="I688" s="181"/>
      <c r="J688" s="181"/>
      <c r="K688" s="182"/>
      <c r="L688" s="182"/>
    </row>
    <row r="689" spans="1:12" ht="15.75" customHeight="1">
      <c r="A689" s="180"/>
      <c r="B689" s="181"/>
      <c r="C689" s="181"/>
      <c r="D689" s="181"/>
      <c r="E689" s="181"/>
      <c r="F689" s="181"/>
      <c r="G689" s="181"/>
      <c r="H689" s="181"/>
      <c r="I689" s="181"/>
      <c r="J689" s="181"/>
      <c r="K689" s="182"/>
      <c r="L689" s="182"/>
    </row>
    <row r="690" spans="1:12" ht="15.75" customHeight="1">
      <c r="A690" s="180"/>
      <c r="B690" s="181"/>
      <c r="C690" s="181"/>
      <c r="D690" s="181"/>
      <c r="E690" s="181"/>
      <c r="F690" s="181"/>
      <c r="G690" s="181"/>
      <c r="H690" s="181"/>
      <c r="I690" s="181"/>
      <c r="J690" s="181"/>
      <c r="K690" s="182"/>
      <c r="L690" s="182"/>
    </row>
    <row r="691" spans="1:12" ht="15.75" customHeight="1">
      <c r="A691" s="180"/>
      <c r="B691" s="181"/>
      <c r="C691" s="181"/>
      <c r="D691" s="181"/>
      <c r="E691" s="181"/>
      <c r="F691" s="181"/>
      <c r="G691" s="181"/>
      <c r="H691" s="181"/>
      <c r="I691" s="181"/>
      <c r="J691" s="181"/>
      <c r="K691" s="182"/>
      <c r="L691" s="182"/>
    </row>
    <row r="692" spans="1:12" ht="15.75" customHeight="1">
      <c r="A692" s="180"/>
      <c r="B692" s="181"/>
      <c r="C692" s="181"/>
      <c r="D692" s="181"/>
      <c r="E692" s="181"/>
      <c r="F692" s="181"/>
      <c r="G692" s="181"/>
      <c r="H692" s="181"/>
      <c r="I692" s="181"/>
      <c r="J692" s="181"/>
      <c r="K692" s="182"/>
      <c r="L692" s="182"/>
    </row>
    <row r="693" spans="1:12" ht="15.75" customHeight="1">
      <c r="A693" s="180"/>
      <c r="B693" s="181"/>
      <c r="C693" s="181"/>
      <c r="D693" s="181"/>
      <c r="E693" s="181"/>
      <c r="F693" s="181"/>
      <c r="G693" s="181"/>
      <c r="H693" s="181"/>
      <c r="I693" s="181"/>
      <c r="J693" s="181"/>
      <c r="K693" s="182"/>
      <c r="L693" s="182"/>
    </row>
    <row r="694" spans="1:12" ht="15.75" customHeight="1">
      <c r="A694" s="180"/>
      <c r="B694" s="181"/>
      <c r="C694" s="181"/>
      <c r="D694" s="181"/>
      <c r="E694" s="181"/>
      <c r="F694" s="181"/>
      <c r="G694" s="181"/>
      <c r="H694" s="181"/>
      <c r="I694" s="181"/>
      <c r="J694" s="181"/>
      <c r="K694" s="182"/>
      <c r="L694" s="182"/>
    </row>
    <row r="695" spans="1:12" ht="15.75" customHeight="1">
      <c r="A695" s="180"/>
      <c r="B695" s="181"/>
      <c r="C695" s="181"/>
      <c r="D695" s="181"/>
      <c r="E695" s="181"/>
      <c r="F695" s="181"/>
      <c r="G695" s="181"/>
      <c r="H695" s="181"/>
      <c r="I695" s="181"/>
      <c r="J695" s="181"/>
      <c r="K695" s="182"/>
      <c r="L695" s="182"/>
    </row>
    <row r="696" spans="1:12" ht="15.75" customHeight="1">
      <c r="A696" s="180"/>
      <c r="B696" s="181"/>
      <c r="C696" s="181"/>
      <c r="D696" s="181"/>
      <c r="E696" s="181"/>
      <c r="F696" s="181"/>
      <c r="G696" s="181"/>
      <c r="H696" s="181"/>
      <c r="I696" s="181"/>
      <c r="J696" s="181"/>
      <c r="K696" s="182"/>
      <c r="L696" s="182"/>
    </row>
    <row r="697" spans="1:12" ht="15.75" customHeight="1">
      <c r="A697" s="180"/>
      <c r="B697" s="181"/>
      <c r="C697" s="181"/>
      <c r="D697" s="181"/>
      <c r="E697" s="181"/>
      <c r="F697" s="181"/>
      <c r="G697" s="181"/>
      <c r="H697" s="181"/>
      <c r="I697" s="181"/>
      <c r="J697" s="181"/>
      <c r="K697" s="182"/>
      <c r="L697" s="182"/>
    </row>
    <row r="698" spans="1:12" ht="15.75" customHeight="1">
      <c r="A698" s="180"/>
      <c r="B698" s="181"/>
      <c r="C698" s="181"/>
      <c r="D698" s="181"/>
      <c r="E698" s="181"/>
      <c r="F698" s="181"/>
      <c r="G698" s="181"/>
      <c r="H698" s="181"/>
      <c r="I698" s="181"/>
      <c r="J698" s="181"/>
      <c r="K698" s="182"/>
      <c r="L698" s="182"/>
    </row>
    <row r="699" spans="1:12" ht="15.75" customHeight="1">
      <c r="A699" s="180"/>
      <c r="B699" s="181"/>
      <c r="C699" s="181"/>
      <c r="D699" s="181"/>
      <c r="E699" s="181"/>
      <c r="F699" s="181"/>
      <c r="G699" s="181"/>
      <c r="H699" s="181"/>
      <c r="I699" s="181"/>
      <c r="J699" s="181"/>
      <c r="K699" s="182"/>
      <c r="L699" s="182"/>
    </row>
    <row r="700" spans="1:12" ht="15.75" customHeight="1">
      <c r="A700" s="180"/>
      <c r="B700" s="181"/>
      <c r="C700" s="181"/>
      <c r="D700" s="181"/>
      <c r="E700" s="181"/>
      <c r="F700" s="181"/>
      <c r="G700" s="181"/>
      <c r="H700" s="181"/>
      <c r="I700" s="181"/>
      <c r="J700" s="181"/>
      <c r="K700" s="182"/>
      <c r="L700" s="182"/>
    </row>
    <row r="701" spans="1:12" ht="15.75" customHeight="1">
      <c r="A701" s="180"/>
      <c r="B701" s="181"/>
      <c r="C701" s="181"/>
      <c r="D701" s="181"/>
      <c r="E701" s="181"/>
      <c r="F701" s="181"/>
      <c r="G701" s="181"/>
      <c r="H701" s="181"/>
      <c r="I701" s="181"/>
      <c r="J701" s="181"/>
      <c r="K701" s="182"/>
      <c r="L701" s="182"/>
    </row>
    <row r="702" spans="1:12" ht="15.75" customHeight="1">
      <c r="A702" s="180"/>
      <c r="B702" s="181"/>
      <c r="C702" s="181"/>
      <c r="D702" s="181"/>
      <c r="E702" s="181"/>
      <c r="F702" s="181"/>
      <c r="G702" s="181"/>
      <c r="H702" s="181"/>
      <c r="I702" s="181"/>
      <c r="J702" s="181"/>
      <c r="K702" s="182"/>
      <c r="L702" s="182"/>
    </row>
    <row r="703" spans="1:12" ht="15.75" customHeight="1">
      <c r="A703" s="180"/>
      <c r="B703" s="181"/>
      <c r="C703" s="181"/>
      <c r="D703" s="181"/>
      <c r="E703" s="181"/>
      <c r="F703" s="181"/>
      <c r="G703" s="181"/>
      <c r="H703" s="181"/>
      <c r="I703" s="181"/>
      <c r="J703" s="181"/>
      <c r="K703" s="182"/>
      <c r="L703" s="182"/>
    </row>
    <row r="704" spans="1:12" ht="15.75" customHeight="1">
      <c r="A704" s="180"/>
      <c r="B704" s="181"/>
      <c r="C704" s="181"/>
      <c r="D704" s="181"/>
      <c r="E704" s="181"/>
      <c r="F704" s="181"/>
      <c r="G704" s="181"/>
      <c r="H704" s="181"/>
      <c r="I704" s="181"/>
      <c r="J704" s="181"/>
      <c r="K704" s="182"/>
      <c r="L704" s="182"/>
    </row>
    <row r="705" spans="1:12" ht="15.75" customHeight="1">
      <c r="A705" s="180"/>
      <c r="B705" s="181"/>
      <c r="C705" s="181"/>
      <c r="D705" s="181"/>
      <c r="E705" s="181"/>
      <c r="F705" s="181"/>
      <c r="G705" s="181"/>
      <c r="H705" s="181"/>
      <c r="I705" s="181"/>
      <c r="J705" s="181"/>
      <c r="K705" s="182"/>
      <c r="L705" s="182"/>
    </row>
    <row r="706" spans="1:12" ht="15.75" customHeight="1">
      <c r="A706" s="180"/>
      <c r="B706" s="181"/>
      <c r="C706" s="181"/>
      <c r="D706" s="181"/>
      <c r="E706" s="181"/>
      <c r="F706" s="181"/>
      <c r="G706" s="181"/>
      <c r="H706" s="181"/>
      <c r="I706" s="181"/>
      <c r="J706" s="181"/>
      <c r="K706" s="182"/>
      <c r="L706" s="182"/>
    </row>
    <row r="707" spans="1:12" ht="15.75" customHeight="1">
      <c r="A707" s="180"/>
      <c r="B707" s="181"/>
      <c r="C707" s="181"/>
      <c r="D707" s="181"/>
      <c r="E707" s="181"/>
      <c r="F707" s="181"/>
      <c r="G707" s="181"/>
      <c r="H707" s="181"/>
      <c r="I707" s="181"/>
      <c r="J707" s="181"/>
      <c r="K707" s="182"/>
      <c r="L707" s="182"/>
    </row>
    <row r="708" spans="1:12" ht="15.75" customHeight="1">
      <c r="A708" s="180"/>
      <c r="B708" s="181"/>
      <c r="C708" s="181"/>
      <c r="D708" s="181"/>
      <c r="E708" s="181"/>
      <c r="F708" s="181"/>
      <c r="G708" s="181"/>
      <c r="H708" s="181"/>
      <c r="I708" s="181"/>
      <c r="J708" s="181"/>
      <c r="K708" s="182"/>
      <c r="L708" s="182"/>
    </row>
    <row r="709" spans="1:12" ht="15.75" customHeight="1">
      <c r="A709" s="180"/>
      <c r="B709" s="181"/>
      <c r="C709" s="181"/>
      <c r="D709" s="181"/>
      <c r="E709" s="181"/>
      <c r="F709" s="181"/>
      <c r="G709" s="181"/>
      <c r="H709" s="181"/>
      <c r="I709" s="181"/>
      <c r="J709" s="181"/>
      <c r="K709" s="182"/>
      <c r="L709" s="182"/>
    </row>
    <row r="710" spans="1:12" ht="15.75" customHeight="1">
      <c r="A710" s="180"/>
      <c r="B710" s="181"/>
      <c r="C710" s="181"/>
      <c r="D710" s="181"/>
      <c r="E710" s="181"/>
      <c r="F710" s="181"/>
      <c r="G710" s="181"/>
      <c r="H710" s="181"/>
      <c r="I710" s="181"/>
      <c r="J710" s="181"/>
      <c r="K710" s="182"/>
      <c r="L710" s="182"/>
    </row>
    <row r="711" spans="1:12" ht="15.75" customHeight="1">
      <c r="A711" s="180"/>
      <c r="B711" s="181"/>
      <c r="C711" s="181"/>
      <c r="D711" s="181"/>
      <c r="E711" s="181"/>
      <c r="F711" s="181"/>
      <c r="G711" s="181"/>
      <c r="H711" s="181"/>
      <c r="I711" s="181"/>
      <c r="J711" s="181"/>
      <c r="K711" s="182"/>
      <c r="L711" s="182"/>
    </row>
    <row r="712" spans="1:12" ht="15.75" customHeight="1">
      <c r="A712" s="180"/>
      <c r="B712" s="181"/>
      <c r="C712" s="181"/>
      <c r="D712" s="181"/>
      <c r="E712" s="181"/>
      <c r="F712" s="181"/>
      <c r="G712" s="181"/>
      <c r="H712" s="181"/>
      <c r="I712" s="181"/>
      <c r="J712" s="181"/>
      <c r="K712" s="182"/>
      <c r="L712" s="182"/>
    </row>
    <row r="713" spans="1:12" ht="15.75" customHeight="1">
      <c r="A713" s="180"/>
      <c r="B713" s="181"/>
      <c r="C713" s="181"/>
      <c r="D713" s="181"/>
      <c r="E713" s="181"/>
      <c r="F713" s="181"/>
      <c r="G713" s="181"/>
      <c r="H713" s="181"/>
      <c r="I713" s="181"/>
      <c r="J713" s="181"/>
      <c r="K713" s="182"/>
      <c r="L713" s="182"/>
    </row>
    <row r="714" spans="1:12" ht="15.75" customHeight="1">
      <c r="A714" s="180"/>
      <c r="B714" s="181"/>
      <c r="C714" s="181"/>
      <c r="D714" s="181"/>
      <c r="E714" s="181"/>
      <c r="F714" s="181"/>
      <c r="G714" s="181"/>
      <c r="H714" s="181"/>
      <c r="I714" s="181"/>
      <c r="J714" s="181"/>
      <c r="K714" s="182"/>
      <c r="L714" s="182"/>
    </row>
    <row r="715" spans="1:12" ht="15.75" customHeight="1">
      <c r="A715" s="180"/>
      <c r="B715" s="181"/>
      <c r="C715" s="181"/>
      <c r="D715" s="181"/>
      <c r="E715" s="181"/>
      <c r="F715" s="181"/>
      <c r="G715" s="181"/>
      <c r="H715" s="181"/>
      <c r="I715" s="181"/>
      <c r="J715" s="181"/>
      <c r="K715" s="182"/>
      <c r="L715" s="182"/>
    </row>
    <row r="716" spans="1:12" ht="15.75" customHeight="1">
      <c r="A716" s="180"/>
      <c r="B716" s="181"/>
      <c r="C716" s="181"/>
      <c r="D716" s="181"/>
      <c r="E716" s="181"/>
      <c r="F716" s="181"/>
      <c r="G716" s="181"/>
      <c r="H716" s="181"/>
      <c r="I716" s="181"/>
      <c r="J716" s="181"/>
      <c r="K716" s="182"/>
      <c r="L716" s="182"/>
    </row>
    <row r="717" spans="1:12" ht="15.75" customHeight="1">
      <c r="A717" s="180"/>
      <c r="B717" s="181"/>
      <c r="C717" s="181"/>
      <c r="D717" s="181"/>
      <c r="E717" s="181"/>
      <c r="F717" s="181"/>
      <c r="G717" s="181"/>
      <c r="H717" s="181"/>
      <c r="I717" s="181"/>
      <c r="J717" s="181"/>
      <c r="K717" s="182"/>
      <c r="L717" s="182"/>
    </row>
    <row r="718" spans="1:12" ht="15.75" customHeight="1">
      <c r="A718" s="180"/>
      <c r="B718" s="181"/>
      <c r="C718" s="181"/>
      <c r="D718" s="181"/>
      <c r="E718" s="181"/>
      <c r="F718" s="181"/>
      <c r="G718" s="181"/>
      <c r="H718" s="181"/>
      <c r="I718" s="181"/>
      <c r="J718" s="181"/>
      <c r="K718" s="182"/>
      <c r="L718" s="182"/>
    </row>
    <row r="719" spans="1:12" ht="15.75" customHeight="1">
      <c r="A719" s="180"/>
      <c r="B719" s="181"/>
      <c r="C719" s="181"/>
      <c r="D719" s="181"/>
      <c r="E719" s="181"/>
      <c r="F719" s="181"/>
      <c r="G719" s="181"/>
      <c r="H719" s="181"/>
      <c r="I719" s="181"/>
      <c r="J719" s="181"/>
      <c r="K719" s="182"/>
      <c r="L719" s="182"/>
    </row>
    <row r="720" spans="1:12" ht="15.75" customHeight="1">
      <c r="A720" s="180"/>
      <c r="B720" s="181"/>
      <c r="C720" s="181"/>
      <c r="D720" s="181"/>
      <c r="E720" s="181"/>
      <c r="F720" s="181"/>
      <c r="G720" s="181"/>
      <c r="H720" s="181"/>
      <c r="I720" s="181"/>
      <c r="J720" s="181"/>
      <c r="K720" s="182"/>
      <c r="L720" s="182"/>
    </row>
    <row r="721" spans="1:12" ht="15.75" customHeight="1">
      <c r="A721" s="180"/>
      <c r="B721" s="181"/>
      <c r="C721" s="181"/>
      <c r="D721" s="181"/>
      <c r="E721" s="181"/>
      <c r="F721" s="181"/>
      <c r="G721" s="181"/>
      <c r="H721" s="181"/>
      <c r="I721" s="181"/>
      <c r="J721" s="181"/>
      <c r="K721" s="182"/>
      <c r="L721" s="182"/>
    </row>
    <row r="722" spans="1:12" ht="15.75" customHeight="1">
      <c r="A722" s="180"/>
      <c r="B722" s="181"/>
      <c r="C722" s="181"/>
      <c r="D722" s="181"/>
      <c r="E722" s="181"/>
      <c r="F722" s="181"/>
      <c r="G722" s="181"/>
      <c r="H722" s="181"/>
      <c r="I722" s="181"/>
      <c r="J722" s="181"/>
      <c r="K722" s="182"/>
      <c r="L722" s="182"/>
    </row>
    <row r="723" spans="1:12" ht="15.75" customHeight="1">
      <c r="A723" s="180"/>
      <c r="B723" s="181"/>
      <c r="C723" s="181"/>
      <c r="D723" s="181"/>
      <c r="E723" s="181"/>
      <c r="F723" s="181"/>
      <c r="G723" s="181"/>
      <c r="H723" s="181"/>
      <c r="I723" s="181"/>
      <c r="J723" s="181"/>
      <c r="K723" s="182"/>
      <c r="L723" s="182"/>
    </row>
    <row r="724" spans="1:12" ht="15.75" customHeight="1">
      <c r="A724" s="180"/>
      <c r="B724" s="181"/>
      <c r="C724" s="181"/>
      <c r="D724" s="181"/>
      <c r="E724" s="181"/>
      <c r="F724" s="181"/>
      <c r="G724" s="181"/>
      <c r="H724" s="181"/>
      <c r="I724" s="181"/>
      <c r="J724" s="181"/>
      <c r="K724" s="182"/>
      <c r="L724" s="182"/>
    </row>
    <row r="725" spans="1:12" ht="15.75" customHeight="1">
      <c r="A725" s="180"/>
      <c r="B725" s="181"/>
      <c r="C725" s="181"/>
      <c r="D725" s="181"/>
      <c r="E725" s="181"/>
      <c r="F725" s="181"/>
      <c r="G725" s="181"/>
      <c r="H725" s="181"/>
      <c r="I725" s="181"/>
      <c r="J725" s="181"/>
      <c r="K725" s="182"/>
      <c r="L725" s="182"/>
    </row>
    <row r="726" spans="1:12" ht="15.75" customHeight="1">
      <c r="A726" s="180"/>
      <c r="B726" s="181"/>
      <c r="C726" s="181"/>
      <c r="D726" s="181"/>
      <c r="E726" s="181"/>
      <c r="F726" s="181"/>
      <c r="G726" s="181"/>
      <c r="H726" s="181"/>
      <c r="I726" s="181"/>
      <c r="J726" s="181"/>
      <c r="K726" s="182"/>
      <c r="L726" s="182"/>
    </row>
    <row r="727" spans="1:12" ht="15.75" customHeight="1">
      <c r="A727" s="180"/>
      <c r="B727" s="181"/>
      <c r="C727" s="181"/>
      <c r="D727" s="181"/>
      <c r="E727" s="181"/>
      <c r="F727" s="181"/>
      <c r="G727" s="181"/>
      <c r="H727" s="181"/>
      <c r="I727" s="181"/>
      <c r="J727" s="181"/>
      <c r="K727" s="182"/>
      <c r="L727" s="182"/>
    </row>
    <row r="728" spans="1:12" ht="15.75" customHeight="1">
      <c r="A728" s="180"/>
      <c r="B728" s="181"/>
      <c r="C728" s="181"/>
      <c r="D728" s="181"/>
      <c r="E728" s="181"/>
      <c r="F728" s="181"/>
      <c r="G728" s="181"/>
      <c r="H728" s="181"/>
      <c r="I728" s="181"/>
      <c r="J728" s="181"/>
      <c r="K728" s="182"/>
      <c r="L728" s="182"/>
    </row>
    <row r="729" spans="1:12" ht="15.75" customHeight="1">
      <c r="A729" s="180"/>
      <c r="B729" s="181"/>
      <c r="C729" s="181"/>
      <c r="D729" s="181"/>
      <c r="E729" s="181"/>
      <c r="F729" s="181"/>
      <c r="G729" s="181"/>
      <c r="H729" s="181"/>
      <c r="I729" s="181"/>
      <c r="J729" s="181"/>
      <c r="K729" s="182"/>
      <c r="L729" s="182"/>
    </row>
    <row r="730" spans="1:12" ht="15.75" customHeight="1">
      <c r="A730" s="180"/>
      <c r="B730" s="181"/>
      <c r="C730" s="181"/>
      <c r="D730" s="181"/>
      <c r="E730" s="181"/>
      <c r="F730" s="181"/>
      <c r="G730" s="181"/>
      <c r="H730" s="181"/>
      <c r="I730" s="181"/>
      <c r="J730" s="181"/>
      <c r="K730" s="182"/>
      <c r="L730" s="182"/>
    </row>
    <row r="731" spans="1:12" ht="15.75" customHeight="1">
      <c r="A731" s="180"/>
      <c r="B731" s="181"/>
      <c r="C731" s="181"/>
      <c r="D731" s="181"/>
      <c r="E731" s="181"/>
      <c r="F731" s="181"/>
      <c r="G731" s="181"/>
      <c r="H731" s="181"/>
      <c r="I731" s="181"/>
      <c r="J731" s="181"/>
      <c r="K731" s="182"/>
      <c r="L731" s="182"/>
    </row>
    <row r="732" spans="1:12" ht="15.75" customHeight="1">
      <c r="A732" s="180"/>
      <c r="B732" s="181"/>
      <c r="C732" s="181"/>
      <c r="D732" s="181"/>
      <c r="E732" s="181"/>
      <c r="F732" s="181"/>
      <c r="G732" s="181"/>
      <c r="H732" s="181"/>
      <c r="I732" s="181"/>
      <c r="J732" s="181"/>
      <c r="K732" s="182"/>
      <c r="L732" s="182"/>
    </row>
    <row r="733" spans="1:12" ht="15.75" customHeight="1">
      <c r="A733" s="180"/>
      <c r="B733" s="181"/>
      <c r="C733" s="181"/>
      <c r="D733" s="181"/>
      <c r="E733" s="181"/>
      <c r="F733" s="181"/>
      <c r="G733" s="181"/>
      <c r="H733" s="181"/>
      <c r="I733" s="181"/>
      <c r="J733" s="181"/>
      <c r="K733" s="182"/>
      <c r="L733" s="182"/>
    </row>
    <row r="734" spans="1:12" ht="15.75" customHeight="1">
      <c r="A734" s="180"/>
      <c r="B734" s="181"/>
      <c r="C734" s="181"/>
      <c r="D734" s="181"/>
      <c r="E734" s="181"/>
      <c r="F734" s="181"/>
      <c r="G734" s="181"/>
      <c r="H734" s="181"/>
      <c r="I734" s="181"/>
      <c r="J734" s="181"/>
      <c r="K734" s="182"/>
      <c r="L734" s="182"/>
    </row>
    <row r="735" spans="1:12" ht="15.75" customHeight="1">
      <c r="A735" s="180"/>
      <c r="B735" s="181"/>
      <c r="C735" s="181"/>
      <c r="D735" s="181"/>
      <c r="E735" s="181"/>
      <c r="F735" s="181"/>
      <c r="G735" s="181"/>
      <c r="H735" s="181"/>
      <c r="I735" s="181"/>
      <c r="J735" s="181"/>
      <c r="K735" s="182"/>
      <c r="L735" s="182"/>
    </row>
    <row r="736" spans="1:12" ht="15.75" customHeight="1">
      <c r="A736" s="180"/>
      <c r="B736" s="181"/>
      <c r="C736" s="181"/>
      <c r="D736" s="181"/>
      <c r="E736" s="181"/>
      <c r="F736" s="181"/>
      <c r="G736" s="181"/>
      <c r="H736" s="181"/>
      <c r="I736" s="181"/>
      <c r="J736" s="181"/>
      <c r="K736" s="182"/>
      <c r="L736" s="182"/>
    </row>
    <row r="737" spans="1:12" ht="15.75" customHeight="1">
      <c r="A737" s="180"/>
      <c r="B737" s="181"/>
      <c r="C737" s="181"/>
      <c r="D737" s="181"/>
      <c r="E737" s="181"/>
      <c r="F737" s="181"/>
      <c r="G737" s="181"/>
      <c r="H737" s="181"/>
      <c r="I737" s="181"/>
      <c r="J737" s="181"/>
      <c r="K737" s="182"/>
      <c r="L737" s="182"/>
    </row>
    <row r="738" spans="1:12" ht="15.75" customHeight="1">
      <c r="A738" s="180"/>
      <c r="B738" s="181"/>
      <c r="C738" s="181"/>
      <c r="D738" s="181"/>
      <c r="E738" s="181"/>
      <c r="F738" s="181"/>
      <c r="G738" s="181"/>
      <c r="H738" s="181"/>
      <c r="I738" s="181"/>
      <c r="J738" s="181"/>
      <c r="K738" s="182"/>
      <c r="L738" s="182"/>
    </row>
    <row r="739" spans="1:12" ht="15.75" customHeight="1">
      <c r="A739" s="180"/>
      <c r="B739" s="181"/>
      <c r="C739" s="181"/>
      <c r="D739" s="181"/>
      <c r="E739" s="181"/>
      <c r="F739" s="181"/>
      <c r="G739" s="181"/>
      <c r="H739" s="181"/>
      <c r="I739" s="181"/>
      <c r="J739" s="181"/>
      <c r="K739" s="182"/>
      <c r="L739" s="182"/>
    </row>
    <row r="740" spans="1:12" ht="15.75" customHeight="1">
      <c r="A740" s="180"/>
      <c r="B740" s="181"/>
      <c r="C740" s="181"/>
      <c r="D740" s="181"/>
      <c r="E740" s="181"/>
      <c r="F740" s="181"/>
      <c r="G740" s="181"/>
      <c r="H740" s="181"/>
      <c r="I740" s="181"/>
      <c r="J740" s="181"/>
      <c r="K740" s="182"/>
      <c r="L740" s="182"/>
    </row>
    <row r="741" spans="1:12" ht="15.75" customHeight="1">
      <c r="A741" s="180"/>
      <c r="B741" s="181"/>
      <c r="C741" s="181"/>
      <c r="D741" s="181"/>
      <c r="E741" s="181"/>
      <c r="F741" s="181"/>
      <c r="G741" s="181"/>
      <c r="H741" s="181"/>
      <c r="I741" s="181"/>
      <c r="J741" s="181"/>
      <c r="K741" s="182"/>
      <c r="L741" s="182"/>
    </row>
    <row r="742" spans="1:12" ht="15.75" customHeight="1">
      <c r="A742" s="180"/>
      <c r="B742" s="181"/>
      <c r="C742" s="181"/>
      <c r="D742" s="181"/>
      <c r="E742" s="181"/>
      <c r="F742" s="181"/>
      <c r="G742" s="181"/>
      <c r="H742" s="181"/>
      <c r="I742" s="181"/>
      <c r="J742" s="181"/>
      <c r="K742" s="182"/>
      <c r="L742" s="182"/>
    </row>
    <row r="743" spans="1:12" ht="15.75" customHeight="1">
      <c r="A743" s="180"/>
      <c r="B743" s="181"/>
      <c r="C743" s="181"/>
      <c r="D743" s="181"/>
      <c r="E743" s="181"/>
      <c r="F743" s="181"/>
      <c r="G743" s="181"/>
      <c r="H743" s="181"/>
      <c r="I743" s="181"/>
      <c r="J743" s="181"/>
      <c r="K743" s="182"/>
      <c r="L743" s="182"/>
    </row>
    <row r="744" spans="1:12" ht="15.75" customHeight="1">
      <c r="A744" s="180"/>
      <c r="B744" s="181"/>
      <c r="C744" s="181"/>
      <c r="D744" s="181"/>
      <c r="E744" s="181"/>
      <c r="F744" s="181"/>
      <c r="G744" s="181"/>
      <c r="H744" s="181"/>
      <c r="I744" s="181"/>
      <c r="J744" s="181"/>
      <c r="K744" s="182"/>
      <c r="L744" s="182"/>
    </row>
    <row r="745" spans="1:12" ht="15.75" customHeight="1">
      <c r="A745" s="180"/>
      <c r="B745" s="181"/>
      <c r="C745" s="181"/>
      <c r="D745" s="181"/>
      <c r="E745" s="181"/>
      <c r="F745" s="181"/>
      <c r="G745" s="181"/>
      <c r="H745" s="181"/>
      <c r="I745" s="181"/>
      <c r="J745" s="181"/>
      <c r="K745" s="182"/>
      <c r="L745" s="182"/>
    </row>
    <row r="746" spans="1:12" ht="15.75" customHeight="1">
      <c r="A746" s="180"/>
      <c r="B746" s="181"/>
      <c r="C746" s="181"/>
      <c r="D746" s="181"/>
      <c r="E746" s="181"/>
      <c r="F746" s="181"/>
      <c r="G746" s="181"/>
      <c r="H746" s="181"/>
      <c r="I746" s="181"/>
      <c r="J746" s="181"/>
      <c r="K746" s="182"/>
      <c r="L746" s="182"/>
    </row>
    <row r="747" spans="1:12" ht="15.75" customHeight="1">
      <c r="A747" s="180"/>
      <c r="B747" s="181"/>
      <c r="C747" s="181"/>
      <c r="D747" s="181"/>
      <c r="E747" s="181"/>
      <c r="F747" s="181"/>
      <c r="G747" s="181"/>
      <c r="H747" s="181"/>
      <c r="I747" s="181"/>
      <c r="J747" s="181"/>
      <c r="K747" s="182"/>
      <c r="L747" s="182"/>
    </row>
    <row r="748" spans="1:12" ht="15.75" customHeight="1">
      <c r="A748" s="180"/>
      <c r="B748" s="181"/>
      <c r="C748" s="181"/>
      <c r="D748" s="181"/>
      <c r="E748" s="181"/>
      <c r="F748" s="181"/>
      <c r="G748" s="181"/>
      <c r="H748" s="181"/>
      <c r="I748" s="181"/>
      <c r="J748" s="181"/>
      <c r="K748" s="182"/>
      <c r="L748" s="182"/>
    </row>
    <row r="749" spans="1:12" ht="15.75" customHeight="1">
      <c r="A749" s="180"/>
      <c r="B749" s="181"/>
      <c r="C749" s="181"/>
      <c r="D749" s="181"/>
      <c r="E749" s="181"/>
      <c r="F749" s="181"/>
      <c r="G749" s="181"/>
      <c r="H749" s="181"/>
      <c r="I749" s="181"/>
      <c r="J749" s="181"/>
      <c r="K749" s="182"/>
      <c r="L749" s="182"/>
    </row>
    <row r="750" spans="1:12" ht="15.75" customHeight="1">
      <c r="A750" s="180"/>
      <c r="B750" s="181"/>
      <c r="C750" s="181"/>
      <c r="D750" s="181"/>
      <c r="E750" s="181"/>
      <c r="F750" s="181"/>
      <c r="G750" s="181"/>
      <c r="H750" s="181"/>
      <c r="I750" s="181"/>
      <c r="J750" s="181"/>
      <c r="K750" s="182"/>
      <c r="L750" s="182"/>
    </row>
    <row r="751" spans="1:12" ht="15.75" customHeight="1">
      <c r="A751" s="180"/>
      <c r="B751" s="181"/>
      <c r="C751" s="181"/>
      <c r="D751" s="181"/>
      <c r="E751" s="181"/>
      <c r="F751" s="181"/>
      <c r="G751" s="181"/>
      <c r="H751" s="181"/>
      <c r="I751" s="181"/>
      <c r="J751" s="181"/>
      <c r="K751" s="182"/>
      <c r="L751" s="182"/>
    </row>
    <row r="752" spans="1:12" ht="15.75" customHeight="1">
      <c r="A752" s="180"/>
      <c r="B752" s="181"/>
      <c r="C752" s="181"/>
      <c r="D752" s="181"/>
      <c r="E752" s="181"/>
      <c r="F752" s="181"/>
      <c r="G752" s="181"/>
      <c r="H752" s="181"/>
      <c r="I752" s="181"/>
      <c r="J752" s="181"/>
      <c r="K752" s="182"/>
      <c r="L752" s="182"/>
    </row>
    <row r="753" spans="1:12" ht="15.75" customHeight="1">
      <c r="A753" s="180"/>
      <c r="B753" s="181"/>
      <c r="C753" s="181"/>
      <c r="D753" s="181"/>
      <c r="E753" s="181"/>
      <c r="F753" s="181"/>
      <c r="G753" s="181"/>
      <c r="H753" s="181"/>
      <c r="I753" s="181"/>
      <c r="J753" s="181"/>
      <c r="K753" s="182"/>
      <c r="L753" s="182"/>
    </row>
    <row r="754" spans="1:12" ht="15.75" customHeight="1">
      <c r="A754" s="180"/>
      <c r="B754" s="181"/>
      <c r="C754" s="181"/>
      <c r="D754" s="181"/>
      <c r="E754" s="181"/>
      <c r="F754" s="181"/>
      <c r="G754" s="181"/>
      <c r="H754" s="181"/>
      <c r="I754" s="181"/>
      <c r="J754" s="181"/>
      <c r="K754" s="182"/>
      <c r="L754" s="182"/>
    </row>
    <row r="755" spans="1:12" ht="15.75" customHeight="1">
      <c r="A755" s="180"/>
      <c r="B755" s="181"/>
      <c r="C755" s="181"/>
      <c r="D755" s="181"/>
      <c r="E755" s="181"/>
      <c r="F755" s="181"/>
      <c r="G755" s="181"/>
      <c r="H755" s="181"/>
      <c r="I755" s="181"/>
      <c r="J755" s="181"/>
      <c r="K755" s="182"/>
      <c r="L755" s="182"/>
    </row>
    <row r="756" spans="1:12" ht="15.75" customHeight="1">
      <c r="A756" s="180"/>
      <c r="B756" s="181"/>
      <c r="C756" s="181"/>
      <c r="D756" s="181"/>
      <c r="E756" s="181"/>
      <c r="F756" s="181"/>
      <c r="G756" s="181"/>
      <c r="H756" s="181"/>
      <c r="I756" s="181"/>
      <c r="J756" s="181"/>
      <c r="K756" s="182"/>
      <c r="L756" s="182"/>
    </row>
    <row r="757" spans="1:12" ht="15.75" customHeight="1">
      <c r="A757" s="180"/>
      <c r="B757" s="181"/>
      <c r="C757" s="181"/>
      <c r="D757" s="181"/>
      <c r="E757" s="181"/>
      <c r="F757" s="181"/>
      <c r="G757" s="181"/>
      <c r="H757" s="181"/>
      <c r="I757" s="181"/>
      <c r="J757" s="181"/>
      <c r="K757" s="182"/>
      <c r="L757" s="182"/>
    </row>
    <row r="758" spans="1:12" ht="15.75" customHeight="1">
      <c r="A758" s="180"/>
      <c r="B758" s="181"/>
      <c r="C758" s="181"/>
      <c r="D758" s="181"/>
      <c r="E758" s="181"/>
      <c r="F758" s="181"/>
      <c r="G758" s="181"/>
      <c r="H758" s="181"/>
      <c r="I758" s="181"/>
      <c r="J758" s="181"/>
      <c r="K758" s="182"/>
      <c r="L758" s="182"/>
    </row>
    <row r="759" spans="1:12" ht="15.75" customHeight="1">
      <c r="A759" s="180"/>
      <c r="B759" s="181"/>
      <c r="C759" s="181"/>
      <c r="D759" s="181"/>
      <c r="E759" s="181"/>
      <c r="F759" s="181"/>
      <c r="G759" s="181"/>
      <c r="H759" s="181"/>
      <c r="I759" s="181"/>
      <c r="J759" s="181"/>
      <c r="K759" s="182"/>
      <c r="L759" s="182"/>
    </row>
    <row r="760" spans="1:12" ht="15.75" customHeight="1">
      <c r="A760" s="180"/>
      <c r="B760" s="181"/>
      <c r="C760" s="181"/>
      <c r="D760" s="181"/>
      <c r="E760" s="181"/>
      <c r="F760" s="181"/>
      <c r="G760" s="181"/>
      <c r="H760" s="181"/>
      <c r="I760" s="181"/>
      <c r="J760" s="181"/>
      <c r="K760" s="182"/>
      <c r="L760" s="182"/>
    </row>
    <row r="761" spans="1:12" ht="15.75" customHeight="1">
      <c r="A761" s="180"/>
      <c r="B761" s="181"/>
      <c r="C761" s="181"/>
      <c r="D761" s="181"/>
      <c r="E761" s="181"/>
      <c r="F761" s="181"/>
      <c r="G761" s="181"/>
      <c r="H761" s="181"/>
      <c r="I761" s="181"/>
      <c r="J761" s="181"/>
      <c r="K761" s="182"/>
      <c r="L761" s="182"/>
    </row>
    <row r="762" spans="1:12" ht="15.75" customHeight="1">
      <c r="A762" s="180"/>
      <c r="B762" s="181"/>
      <c r="C762" s="181"/>
      <c r="D762" s="181"/>
      <c r="E762" s="181"/>
      <c r="F762" s="181"/>
      <c r="G762" s="181"/>
      <c r="H762" s="181"/>
      <c r="I762" s="181"/>
      <c r="J762" s="181"/>
      <c r="K762" s="182"/>
      <c r="L762" s="182"/>
    </row>
    <row r="763" spans="1:12" ht="15.75" customHeight="1">
      <c r="A763" s="180"/>
      <c r="B763" s="181"/>
      <c r="C763" s="181"/>
      <c r="D763" s="181"/>
      <c r="E763" s="181"/>
      <c r="F763" s="181"/>
      <c r="G763" s="181"/>
      <c r="H763" s="181"/>
      <c r="I763" s="181"/>
      <c r="J763" s="181"/>
      <c r="K763" s="182"/>
      <c r="L763" s="182"/>
    </row>
    <row r="764" spans="1:12" ht="15.75" customHeight="1">
      <c r="A764" s="180"/>
      <c r="B764" s="181"/>
      <c r="C764" s="181"/>
      <c r="D764" s="181"/>
      <c r="E764" s="181"/>
      <c r="F764" s="181"/>
      <c r="G764" s="181"/>
      <c r="H764" s="181"/>
      <c r="I764" s="181"/>
      <c r="J764" s="181"/>
      <c r="K764" s="182"/>
      <c r="L764" s="182"/>
    </row>
    <row r="765" spans="1:12" ht="15.75" customHeight="1">
      <c r="A765" s="180"/>
      <c r="B765" s="181"/>
      <c r="C765" s="181"/>
      <c r="D765" s="181"/>
      <c r="E765" s="181"/>
      <c r="F765" s="181"/>
      <c r="G765" s="181"/>
      <c r="H765" s="181"/>
      <c r="I765" s="181"/>
      <c r="J765" s="181"/>
      <c r="K765" s="182"/>
      <c r="L765" s="182"/>
    </row>
    <row r="766" spans="1:12" ht="15.75" customHeight="1">
      <c r="A766" s="180"/>
      <c r="B766" s="181"/>
      <c r="C766" s="181"/>
      <c r="D766" s="181"/>
      <c r="E766" s="181"/>
      <c r="F766" s="181"/>
      <c r="G766" s="181"/>
      <c r="H766" s="181"/>
      <c r="I766" s="181"/>
      <c r="J766" s="181"/>
      <c r="K766" s="182"/>
      <c r="L766" s="182"/>
    </row>
    <row r="767" spans="1:12" ht="15.75" customHeight="1">
      <c r="A767" s="180"/>
      <c r="B767" s="181"/>
      <c r="C767" s="181"/>
      <c r="D767" s="181"/>
      <c r="E767" s="181"/>
      <c r="F767" s="181"/>
      <c r="G767" s="181"/>
      <c r="H767" s="181"/>
      <c r="I767" s="181"/>
      <c r="J767" s="181"/>
      <c r="K767" s="182"/>
      <c r="L767" s="182"/>
    </row>
    <row r="768" spans="1:12" ht="15.75" customHeight="1">
      <c r="A768" s="180"/>
      <c r="B768" s="181"/>
      <c r="C768" s="181"/>
      <c r="D768" s="181"/>
      <c r="E768" s="181"/>
      <c r="F768" s="181"/>
      <c r="G768" s="181"/>
      <c r="H768" s="181"/>
      <c r="I768" s="181"/>
      <c r="J768" s="181"/>
      <c r="K768" s="182"/>
      <c r="L768" s="182"/>
    </row>
    <row r="769" spans="1:12" ht="15.75" customHeight="1">
      <c r="A769" s="180"/>
      <c r="B769" s="181"/>
      <c r="C769" s="181"/>
      <c r="D769" s="181"/>
      <c r="E769" s="181"/>
      <c r="F769" s="181"/>
      <c r="G769" s="181"/>
      <c r="H769" s="181"/>
      <c r="I769" s="181"/>
      <c r="J769" s="181"/>
      <c r="K769" s="182"/>
      <c r="L769" s="182"/>
    </row>
    <row r="770" spans="1:12" ht="15.75" customHeight="1">
      <c r="A770" s="180"/>
      <c r="B770" s="181"/>
      <c r="C770" s="181"/>
      <c r="D770" s="181"/>
      <c r="E770" s="181"/>
      <c r="F770" s="181"/>
      <c r="G770" s="181"/>
      <c r="H770" s="181"/>
      <c r="I770" s="181"/>
      <c r="J770" s="181"/>
      <c r="K770" s="182"/>
      <c r="L770" s="182"/>
    </row>
    <row r="771" spans="1:12" ht="15.75" customHeight="1">
      <c r="A771" s="180"/>
      <c r="B771" s="181"/>
      <c r="C771" s="181"/>
      <c r="D771" s="181"/>
      <c r="E771" s="181"/>
      <c r="F771" s="181"/>
      <c r="G771" s="181"/>
      <c r="H771" s="181"/>
      <c r="I771" s="181"/>
      <c r="J771" s="181"/>
      <c r="K771" s="182"/>
      <c r="L771" s="182"/>
    </row>
    <row r="772" spans="1:12" ht="15.75" customHeight="1">
      <c r="A772" s="180"/>
      <c r="B772" s="181"/>
      <c r="C772" s="181"/>
      <c r="D772" s="181"/>
      <c r="E772" s="181"/>
      <c r="F772" s="181"/>
      <c r="G772" s="181"/>
      <c r="H772" s="181"/>
      <c r="I772" s="181"/>
      <c r="J772" s="181"/>
      <c r="K772" s="182"/>
      <c r="L772" s="182"/>
    </row>
    <row r="773" spans="1:12" ht="15.75" customHeight="1">
      <c r="A773" s="180"/>
      <c r="B773" s="181"/>
      <c r="C773" s="181"/>
      <c r="D773" s="181"/>
      <c r="E773" s="181"/>
      <c r="F773" s="181"/>
      <c r="G773" s="181"/>
      <c r="H773" s="181"/>
      <c r="I773" s="181"/>
      <c r="J773" s="181"/>
      <c r="K773" s="182"/>
      <c r="L773" s="182"/>
    </row>
    <row r="774" spans="1:12" ht="15.75" customHeight="1">
      <c r="A774" s="180"/>
      <c r="B774" s="181"/>
      <c r="C774" s="181"/>
      <c r="D774" s="181"/>
      <c r="E774" s="181"/>
      <c r="F774" s="181"/>
      <c r="G774" s="181"/>
      <c r="H774" s="181"/>
      <c r="I774" s="181"/>
      <c r="J774" s="181"/>
      <c r="K774" s="182"/>
      <c r="L774" s="182"/>
    </row>
    <row r="775" spans="1:12" ht="15.75" customHeight="1">
      <c r="A775" s="180"/>
      <c r="B775" s="181"/>
      <c r="C775" s="181"/>
      <c r="D775" s="181"/>
      <c r="E775" s="181"/>
      <c r="F775" s="181"/>
      <c r="G775" s="181"/>
      <c r="H775" s="181"/>
      <c r="I775" s="181"/>
      <c r="J775" s="181"/>
      <c r="K775" s="182"/>
      <c r="L775" s="182"/>
    </row>
    <row r="776" spans="1:12" ht="15.75" customHeight="1">
      <c r="A776" s="180"/>
      <c r="B776" s="181"/>
      <c r="C776" s="181"/>
      <c r="D776" s="181"/>
      <c r="E776" s="181"/>
      <c r="F776" s="181"/>
      <c r="G776" s="181"/>
      <c r="H776" s="181"/>
      <c r="I776" s="181"/>
      <c r="J776" s="181"/>
      <c r="K776" s="182"/>
      <c r="L776" s="182"/>
    </row>
    <row r="777" spans="1:12" ht="15.75" customHeight="1">
      <c r="A777" s="180"/>
      <c r="B777" s="181"/>
      <c r="C777" s="181"/>
      <c r="D777" s="181"/>
      <c r="E777" s="181"/>
      <c r="F777" s="181"/>
      <c r="G777" s="181"/>
      <c r="H777" s="181"/>
      <c r="I777" s="181"/>
      <c r="J777" s="181"/>
      <c r="K777" s="182"/>
      <c r="L777" s="182"/>
    </row>
    <row r="778" spans="1:12" ht="15.75" customHeight="1">
      <c r="A778" s="180"/>
      <c r="B778" s="181"/>
      <c r="C778" s="181"/>
      <c r="D778" s="181"/>
      <c r="E778" s="181"/>
      <c r="F778" s="181"/>
      <c r="G778" s="181"/>
      <c r="H778" s="181"/>
      <c r="I778" s="181"/>
      <c r="J778" s="181"/>
      <c r="K778" s="182"/>
      <c r="L778" s="182"/>
    </row>
    <row r="779" spans="1:12" ht="15.75" customHeight="1">
      <c r="A779" s="180"/>
      <c r="B779" s="181"/>
      <c r="C779" s="181"/>
      <c r="D779" s="181"/>
      <c r="E779" s="181"/>
      <c r="F779" s="181"/>
      <c r="G779" s="181"/>
      <c r="H779" s="181"/>
      <c r="I779" s="181"/>
      <c r="J779" s="181"/>
      <c r="K779" s="182"/>
      <c r="L779" s="182"/>
    </row>
    <row r="780" spans="1:12" ht="15.75" customHeight="1">
      <c r="A780" s="180"/>
      <c r="B780" s="181"/>
      <c r="C780" s="181"/>
      <c r="D780" s="181"/>
      <c r="E780" s="181"/>
      <c r="F780" s="181"/>
      <c r="G780" s="181"/>
      <c r="H780" s="181"/>
      <c r="I780" s="181"/>
      <c r="J780" s="181"/>
      <c r="K780" s="182"/>
      <c r="L780" s="182"/>
    </row>
    <row r="781" spans="1:12" ht="15.75" customHeight="1">
      <c r="A781" s="180"/>
      <c r="B781" s="181"/>
      <c r="C781" s="181"/>
      <c r="D781" s="181"/>
      <c r="E781" s="181"/>
      <c r="F781" s="181"/>
      <c r="G781" s="181"/>
      <c r="H781" s="181"/>
      <c r="I781" s="181"/>
      <c r="J781" s="181"/>
      <c r="K781" s="182"/>
      <c r="L781" s="182"/>
    </row>
    <row r="782" spans="1:12" ht="15.75" customHeight="1">
      <c r="A782" s="180"/>
      <c r="B782" s="181"/>
      <c r="C782" s="181"/>
      <c r="D782" s="181"/>
      <c r="E782" s="181"/>
      <c r="F782" s="181"/>
      <c r="G782" s="181"/>
      <c r="H782" s="181"/>
      <c r="I782" s="181"/>
      <c r="J782" s="181"/>
      <c r="K782" s="182"/>
      <c r="L782" s="182"/>
    </row>
    <row r="783" spans="1:12" ht="15.75" customHeight="1">
      <c r="A783" s="180"/>
      <c r="B783" s="181"/>
      <c r="C783" s="181"/>
      <c r="D783" s="181"/>
      <c r="E783" s="181"/>
      <c r="F783" s="181"/>
      <c r="G783" s="181"/>
      <c r="H783" s="181"/>
      <c r="I783" s="181"/>
      <c r="J783" s="181"/>
      <c r="K783" s="182"/>
      <c r="L783" s="182"/>
    </row>
    <row r="784" spans="1:12" ht="15.75" customHeight="1">
      <c r="A784" s="180"/>
      <c r="B784" s="181"/>
      <c r="C784" s="181"/>
      <c r="D784" s="181"/>
      <c r="E784" s="181"/>
      <c r="F784" s="181"/>
      <c r="G784" s="181"/>
      <c r="H784" s="181"/>
      <c r="I784" s="181"/>
      <c r="J784" s="181"/>
      <c r="K784" s="182"/>
      <c r="L784" s="182"/>
    </row>
    <row r="785" spans="1:12" ht="15.75" customHeight="1">
      <c r="A785" s="180"/>
      <c r="B785" s="181"/>
      <c r="C785" s="181"/>
      <c r="D785" s="181"/>
      <c r="E785" s="181"/>
      <c r="F785" s="181"/>
      <c r="G785" s="181"/>
      <c r="H785" s="181"/>
      <c r="I785" s="181"/>
      <c r="J785" s="181"/>
      <c r="K785" s="182"/>
      <c r="L785" s="182"/>
    </row>
    <row r="786" spans="1:12" ht="15.75" customHeight="1">
      <c r="A786" s="180"/>
      <c r="B786" s="181"/>
      <c r="C786" s="181"/>
      <c r="D786" s="181"/>
      <c r="E786" s="181"/>
      <c r="F786" s="181"/>
      <c r="G786" s="181"/>
      <c r="H786" s="181"/>
      <c r="I786" s="181"/>
      <c r="J786" s="181"/>
      <c r="K786" s="182"/>
      <c r="L786" s="182"/>
    </row>
    <row r="787" spans="1:12" ht="15.75" customHeight="1">
      <c r="A787" s="180"/>
      <c r="B787" s="181"/>
      <c r="C787" s="181"/>
      <c r="D787" s="181"/>
      <c r="E787" s="181"/>
      <c r="F787" s="181"/>
      <c r="G787" s="181"/>
      <c r="H787" s="181"/>
      <c r="I787" s="181"/>
      <c r="J787" s="181"/>
      <c r="K787" s="182"/>
      <c r="L787" s="182"/>
    </row>
    <row r="788" spans="1:12" ht="15.75" customHeight="1">
      <c r="A788" s="180"/>
      <c r="B788" s="181"/>
      <c r="C788" s="181"/>
      <c r="D788" s="181"/>
      <c r="E788" s="181"/>
      <c r="F788" s="181"/>
      <c r="G788" s="181"/>
      <c r="H788" s="181"/>
      <c r="I788" s="181"/>
      <c r="J788" s="181"/>
      <c r="K788" s="182"/>
      <c r="L788" s="182"/>
    </row>
    <row r="789" spans="1:12" ht="15.75" customHeight="1">
      <c r="A789" s="180"/>
      <c r="B789" s="181"/>
      <c r="C789" s="181"/>
      <c r="D789" s="181"/>
      <c r="E789" s="181"/>
      <c r="F789" s="181"/>
      <c r="G789" s="181"/>
      <c r="H789" s="181"/>
      <c r="I789" s="181"/>
      <c r="J789" s="181"/>
      <c r="K789" s="182"/>
      <c r="L789" s="182"/>
    </row>
    <row r="790" spans="1:12" ht="15.75" customHeight="1">
      <c r="A790" s="180"/>
      <c r="B790" s="181"/>
      <c r="C790" s="181"/>
      <c r="D790" s="181"/>
      <c r="E790" s="181"/>
      <c r="F790" s="181"/>
      <c r="G790" s="181"/>
      <c r="H790" s="181"/>
      <c r="I790" s="181"/>
      <c r="J790" s="181"/>
      <c r="K790" s="182"/>
      <c r="L790" s="182"/>
    </row>
    <row r="791" spans="1:12" ht="15.75" customHeight="1">
      <c r="A791" s="180"/>
      <c r="B791" s="181"/>
      <c r="C791" s="181"/>
      <c r="D791" s="181"/>
      <c r="E791" s="181"/>
      <c r="F791" s="181"/>
      <c r="G791" s="181"/>
      <c r="H791" s="181"/>
      <c r="I791" s="181"/>
      <c r="J791" s="181"/>
      <c r="K791" s="182"/>
      <c r="L791" s="182"/>
    </row>
    <row r="792" spans="1:12" ht="15.75" customHeight="1">
      <c r="A792" s="180"/>
      <c r="B792" s="181"/>
      <c r="C792" s="181"/>
      <c r="D792" s="181"/>
      <c r="E792" s="181"/>
      <c r="F792" s="181"/>
      <c r="G792" s="181"/>
      <c r="H792" s="181"/>
      <c r="I792" s="181"/>
      <c r="J792" s="181"/>
      <c r="K792" s="182"/>
      <c r="L792" s="182"/>
    </row>
    <row r="793" spans="1:12" ht="15.75" customHeight="1">
      <c r="A793" s="180"/>
      <c r="B793" s="181"/>
      <c r="C793" s="181"/>
      <c r="D793" s="181"/>
      <c r="E793" s="181"/>
      <c r="F793" s="181"/>
      <c r="G793" s="181"/>
      <c r="H793" s="181"/>
      <c r="I793" s="181"/>
      <c r="J793" s="181"/>
      <c r="K793" s="182"/>
      <c r="L793" s="182"/>
    </row>
    <row r="794" spans="1:12" ht="15.75" customHeight="1">
      <c r="A794" s="180"/>
      <c r="B794" s="181"/>
      <c r="C794" s="181"/>
      <c r="D794" s="181"/>
      <c r="E794" s="181"/>
      <c r="F794" s="181"/>
      <c r="G794" s="181"/>
      <c r="H794" s="181"/>
      <c r="I794" s="181"/>
      <c r="J794" s="181"/>
      <c r="K794" s="182"/>
      <c r="L794" s="182"/>
    </row>
    <row r="795" spans="1:12" ht="15.75" customHeight="1">
      <c r="A795" s="180"/>
      <c r="B795" s="181"/>
      <c r="C795" s="181"/>
      <c r="D795" s="181"/>
      <c r="E795" s="181"/>
      <c r="F795" s="181"/>
      <c r="G795" s="181"/>
      <c r="H795" s="181"/>
      <c r="I795" s="181"/>
      <c r="J795" s="181"/>
      <c r="K795" s="182"/>
      <c r="L795" s="182"/>
    </row>
    <row r="796" spans="1:12" ht="15.75" customHeight="1">
      <c r="A796" s="180"/>
      <c r="B796" s="181"/>
      <c r="C796" s="181"/>
      <c r="D796" s="181"/>
      <c r="E796" s="181"/>
      <c r="F796" s="181"/>
      <c r="G796" s="181"/>
      <c r="H796" s="181"/>
      <c r="I796" s="181"/>
      <c r="J796" s="181"/>
      <c r="K796" s="182"/>
      <c r="L796" s="182"/>
    </row>
    <row r="797" spans="1:12" ht="15.75" customHeight="1">
      <c r="A797" s="180"/>
      <c r="B797" s="181"/>
      <c r="C797" s="181"/>
      <c r="D797" s="181"/>
      <c r="E797" s="181"/>
      <c r="F797" s="181"/>
      <c r="G797" s="181"/>
      <c r="H797" s="181"/>
      <c r="I797" s="181"/>
      <c r="J797" s="181"/>
      <c r="K797" s="182"/>
      <c r="L797" s="182"/>
    </row>
    <row r="798" spans="1:12" ht="15.75" customHeight="1">
      <c r="A798" s="180"/>
      <c r="B798" s="181"/>
      <c r="C798" s="181"/>
      <c r="D798" s="181"/>
      <c r="E798" s="181"/>
      <c r="F798" s="181"/>
      <c r="G798" s="181"/>
      <c r="H798" s="181"/>
      <c r="I798" s="181"/>
      <c r="J798" s="181"/>
      <c r="K798" s="182"/>
      <c r="L798" s="182"/>
    </row>
    <row r="799" spans="1:12" ht="15.75" customHeight="1">
      <c r="A799" s="180"/>
      <c r="B799" s="181"/>
      <c r="C799" s="181"/>
      <c r="D799" s="181"/>
      <c r="E799" s="181"/>
      <c r="F799" s="181"/>
      <c r="G799" s="181"/>
      <c r="H799" s="181"/>
      <c r="I799" s="181"/>
      <c r="J799" s="181"/>
      <c r="K799" s="182"/>
      <c r="L799" s="182"/>
    </row>
    <row r="800" spans="1:12" ht="15.75" customHeight="1">
      <c r="A800" s="180"/>
      <c r="B800" s="181"/>
      <c r="C800" s="181"/>
      <c r="D800" s="181"/>
      <c r="E800" s="181"/>
      <c r="F800" s="181"/>
      <c r="G800" s="181"/>
      <c r="H800" s="181"/>
      <c r="I800" s="181"/>
      <c r="J800" s="181"/>
      <c r="K800" s="182"/>
      <c r="L800" s="182"/>
    </row>
    <row r="801" spans="1:12" ht="15.75" customHeight="1">
      <c r="A801" s="180"/>
      <c r="B801" s="181"/>
      <c r="C801" s="181"/>
      <c r="D801" s="181"/>
      <c r="E801" s="181"/>
      <c r="F801" s="181"/>
      <c r="G801" s="181"/>
      <c r="H801" s="181"/>
      <c r="I801" s="181"/>
      <c r="J801" s="181"/>
      <c r="K801" s="182"/>
      <c r="L801" s="182"/>
    </row>
    <row r="802" spans="1:12" ht="15.75" customHeight="1">
      <c r="A802" s="180"/>
      <c r="B802" s="181"/>
      <c r="C802" s="181"/>
      <c r="D802" s="181"/>
      <c r="E802" s="181"/>
      <c r="F802" s="181"/>
      <c r="G802" s="181"/>
      <c r="H802" s="181"/>
      <c r="I802" s="181"/>
      <c r="J802" s="181"/>
      <c r="K802" s="182"/>
      <c r="L802" s="182"/>
    </row>
    <row r="803" spans="1:12" ht="15.75" customHeight="1">
      <c r="A803" s="180"/>
      <c r="B803" s="181"/>
      <c r="C803" s="181"/>
      <c r="D803" s="181"/>
      <c r="E803" s="181"/>
      <c r="F803" s="181"/>
      <c r="G803" s="181"/>
      <c r="H803" s="181"/>
      <c r="I803" s="181"/>
      <c r="J803" s="181"/>
      <c r="K803" s="182"/>
      <c r="L803" s="182"/>
    </row>
    <row r="804" spans="1:12" ht="15.75" customHeight="1">
      <c r="A804" s="180"/>
      <c r="B804" s="181"/>
      <c r="C804" s="181"/>
      <c r="D804" s="181"/>
      <c r="E804" s="181"/>
      <c r="F804" s="181"/>
      <c r="G804" s="181"/>
      <c r="H804" s="181"/>
      <c r="I804" s="181"/>
      <c r="J804" s="181"/>
      <c r="K804" s="182"/>
      <c r="L804" s="182"/>
    </row>
    <row r="805" spans="1:12" ht="15.75" customHeight="1">
      <c r="A805" s="180"/>
      <c r="B805" s="181"/>
      <c r="C805" s="181"/>
      <c r="D805" s="181"/>
      <c r="E805" s="181"/>
      <c r="F805" s="181"/>
      <c r="G805" s="181"/>
      <c r="H805" s="181"/>
      <c r="I805" s="181"/>
      <c r="J805" s="181"/>
      <c r="K805" s="182"/>
      <c r="L805" s="182"/>
    </row>
    <row r="806" spans="1:12" ht="15.75" customHeight="1">
      <c r="A806" s="180"/>
      <c r="B806" s="181"/>
      <c r="C806" s="181"/>
      <c r="D806" s="181"/>
      <c r="E806" s="181"/>
      <c r="F806" s="181"/>
      <c r="G806" s="181"/>
      <c r="H806" s="181"/>
      <c r="I806" s="181"/>
      <c r="J806" s="181"/>
      <c r="K806" s="182"/>
      <c r="L806" s="182"/>
    </row>
    <row r="807" spans="1:12" ht="15.75" customHeight="1">
      <c r="A807" s="180"/>
      <c r="B807" s="181"/>
      <c r="C807" s="181"/>
      <c r="D807" s="181"/>
      <c r="E807" s="181"/>
      <c r="F807" s="181"/>
      <c r="G807" s="181"/>
      <c r="H807" s="181"/>
      <c r="I807" s="181"/>
      <c r="J807" s="181"/>
      <c r="K807" s="182"/>
      <c r="L807" s="182"/>
    </row>
    <row r="808" spans="1:12" ht="15.75" customHeight="1">
      <c r="A808" s="180"/>
      <c r="B808" s="181"/>
      <c r="C808" s="181"/>
      <c r="D808" s="181"/>
      <c r="E808" s="181"/>
      <c r="F808" s="181"/>
      <c r="G808" s="181"/>
      <c r="H808" s="181"/>
      <c r="I808" s="181"/>
      <c r="J808" s="181"/>
      <c r="K808" s="182"/>
      <c r="L808" s="182"/>
    </row>
    <row r="809" spans="1:12" ht="15.75" customHeight="1">
      <c r="A809" s="180"/>
      <c r="B809" s="181"/>
      <c r="C809" s="181"/>
      <c r="D809" s="181"/>
      <c r="E809" s="181"/>
      <c r="F809" s="181"/>
      <c r="G809" s="181"/>
      <c r="H809" s="181"/>
      <c r="I809" s="181"/>
      <c r="J809" s="181"/>
      <c r="K809" s="182"/>
      <c r="L809" s="182"/>
    </row>
    <row r="810" spans="1:12" ht="15.75" customHeight="1">
      <c r="A810" s="180"/>
      <c r="B810" s="181"/>
      <c r="C810" s="181"/>
      <c r="D810" s="181"/>
      <c r="E810" s="181"/>
      <c r="F810" s="181"/>
      <c r="G810" s="181"/>
      <c r="H810" s="181"/>
      <c r="I810" s="181"/>
      <c r="J810" s="181"/>
      <c r="K810" s="182"/>
      <c r="L810" s="182"/>
    </row>
    <row r="811" spans="1:12" ht="15.75" customHeight="1">
      <c r="A811" s="180"/>
      <c r="B811" s="181"/>
      <c r="C811" s="181"/>
      <c r="D811" s="181"/>
      <c r="E811" s="181"/>
      <c r="F811" s="181"/>
      <c r="G811" s="181"/>
      <c r="H811" s="181"/>
      <c r="I811" s="181"/>
      <c r="J811" s="181"/>
      <c r="K811" s="182"/>
      <c r="L811" s="182"/>
    </row>
    <row r="812" spans="1:12" ht="15.75" customHeight="1">
      <c r="A812" s="180"/>
      <c r="B812" s="181"/>
      <c r="C812" s="181"/>
      <c r="D812" s="181"/>
      <c r="E812" s="181"/>
      <c r="F812" s="181"/>
      <c r="G812" s="181"/>
      <c r="H812" s="181"/>
      <c r="I812" s="181"/>
      <c r="J812" s="181"/>
      <c r="K812" s="182"/>
      <c r="L812" s="182"/>
    </row>
    <row r="813" spans="1:12" ht="15.75" customHeight="1">
      <c r="A813" s="180"/>
      <c r="B813" s="181"/>
      <c r="C813" s="181"/>
      <c r="D813" s="181"/>
      <c r="E813" s="181"/>
      <c r="F813" s="181"/>
      <c r="G813" s="181"/>
      <c r="H813" s="181"/>
      <c r="I813" s="181"/>
      <c r="J813" s="181"/>
      <c r="K813" s="182"/>
      <c r="L813" s="182"/>
    </row>
    <row r="814" spans="1:12" ht="15.75" customHeight="1">
      <c r="A814" s="180"/>
      <c r="B814" s="181"/>
      <c r="C814" s="181"/>
      <c r="D814" s="181"/>
      <c r="E814" s="181"/>
      <c r="F814" s="181"/>
      <c r="G814" s="181"/>
      <c r="H814" s="181"/>
      <c r="I814" s="181"/>
      <c r="J814" s="181"/>
      <c r="K814" s="182"/>
      <c r="L814" s="182"/>
    </row>
    <row r="815" spans="1:12" ht="15.75" customHeight="1">
      <c r="A815" s="180"/>
      <c r="B815" s="181"/>
      <c r="C815" s="181"/>
      <c r="D815" s="181"/>
      <c r="E815" s="181"/>
      <c r="F815" s="181"/>
      <c r="G815" s="181"/>
      <c r="H815" s="181"/>
      <c r="I815" s="181"/>
      <c r="J815" s="181"/>
      <c r="K815" s="182"/>
      <c r="L815" s="182"/>
    </row>
    <row r="816" spans="1:12" ht="15.75" customHeight="1">
      <c r="A816" s="180"/>
      <c r="B816" s="181"/>
      <c r="C816" s="181"/>
      <c r="D816" s="181"/>
      <c r="E816" s="181"/>
      <c r="F816" s="181"/>
      <c r="G816" s="181"/>
      <c r="H816" s="181"/>
      <c r="I816" s="181"/>
      <c r="J816" s="181"/>
      <c r="K816" s="182"/>
      <c r="L816" s="182"/>
    </row>
    <row r="817" spans="1:12" ht="15.75" customHeight="1">
      <c r="A817" s="180"/>
      <c r="B817" s="181"/>
      <c r="C817" s="181"/>
      <c r="D817" s="181"/>
      <c r="E817" s="181"/>
      <c r="F817" s="181"/>
      <c r="G817" s="181"/>
      <c r="H817" s="181"/>
      <c r="I817" s="181"/>
      <c r="J817" s="181"/>
      <c r="K817" s="182"/>
      <c r="L817" s="182"/>
    </row>
    <row r="818" spans="1:12" ht="15.75" customHeight="1">
      <c r="A818" s="180"/>
      <c r="B818" s="181"/>
      <c r="C818" s="181"/>
      <c r="D818" s="181"/>
      <c r="E818" s="181"/>
      <c r="F818" s="181"/>
      <c r="G818" s="181"/>
      <c r="H818" s="181"/>
      <c r="I818" s="181"/>
      <c r="J818" s="181"/>
      <c r="K818" s="182"/>
      <c r="L818" s="182"/>
    </row>
    <row r="819" spans="1:12" ht="15.75" customHeight="1">
      <c r="A819" s="180"/>
      <c r="B819" s="181"/>
      <c r="C819" s="181"/>
      <c r="D819" s="181"/>
      <c r="E819" s="181"/>
      <c r="F819" s="181"/>
      <c r="G819" s="181"/>
      <c r="H819" s="181"/>
      <c r="I819" s="181"/>
      <c r="J819" s="181"/>
      <c r="K819" s="182"/>
      <c r="L819" s="182"/>
    </row>
    <row r="820" spans="1:12" ht="15.75" customHeight="1">
      <c r="A820" s="180"/>
      <c r="B820" s="181"/>
      <c r="C820" s="181"/>
      <c r="D820" s="181"/>
      <c r="E820" s="181"/>
      <c r="F820" s="181"/>
      <c r="G820" s="181"/>
      <c r="H820" s="181"/>
      <c r="I820" s="181"/>
      <c r="J820" s="181"/>
      <c r="K820" s="182"/>
      <c r="L820" s="182"/>
    </row>
    <row r="821" spans="1:12" ht="15.75" customHeight="1">
      <c r="A821" s="180"/>
      <c r="B821" s="181"/>
      <c r="C821" s="181"/>
      <c r="D821" s="181"/>
      <c r="E821" s="181"/>
      <c r="F821" s="181"/>
      <c r="G821" s="181"/>
      <c r="H821" s="181"/>
      <c r="I821" s="181"/>
      <c r="J821" s="181"/>
      <c r="K821" s="182"/>
      <c r="L821" s="182"/>
    </row>
    <row r="822" spans="1:12" ht="15.75" customHeight="1">
      <c r="A822" s="180"/>
      <c r="B822" s="181"/>
      <c r="C822" s="181"/>
      <c r="D822" s="181"/>
      <c r="E822" s="181"/>
      <c r="F822" s="181"/>
      <c r="G822" s="181"/>
      <c r="H822" s="181"/>
      <c r="I822" s="181"/>
      <c r="J822" s="181"/>
      <c r="K822" s="182"/>
      <c r="L822" s="182"/>
    </row>
    <row r="823" spans="1:12" ht="15.75" customHeight="1">
      <c r="A823" s="180"/>
      <c r="B823" s="181"/>
      <c r="C823" s="181"/>
      <c r="D823" s="181"/>
      <c r="E823" s="181"/>
      <c r="F823" s="181"/>
      <c r="G823" s="181"/>
      <c r="H823" s="181"/>
      <c r="I823" s="181"/>
      <c r="J823" s="181"/>
      <c r="K823" s="182"/>
      <c r="L823" s="182"/>
    </row>
    <row r="824" spans="1:12" ht="15.75" customHeight="1">
      <c r="A824" s="180"/>
      <c r="B824" s="181"/>
      <c r="C824" s="181"/>
      <c r="D824" s="181"/>
      <c r="E824" s="181"/>
      <c r="F824" s="181"/>
      <c r="G824" s="181"/>
      <c r="H824" s="181"/>
      <c r="I824" s="181"/>
      <c r="J824" s="181"/>
      <c r="K824" s="182"/>
      <c r="L824" s="182"/>
    </row>
    <row r="825" spans="1:12" ht="15.75" customHeight="1">
      <c r="A825" s="180"/>
      <c r="B825" s="181"/>
      <c r="C825" s="181"/>
      <c r="D825" s="181"/>
      <c r="E825" s="181"/>
      <c r="F825" s="181"/>
      <c r="G825" s="181"/>
      <c r="H825" s="181"/>
      <c r="I825" s="181"/>
      <c r="J825" s="181"/>
      <c r="K825" s="182"/>
      <c r="L825" s="182"/>
    </row>
    <row r="826" spans="1:12" ht="15.75" customHeight="1">
      <c r="A826" s="180"/>
      <c r="B826" s="181"/>
      <c r="C826" s="181"/>
      <c r="D826" s="181"/>
      <c r="E826" s="181"/>
      <c r="F826" s="181"/>
      <c r="G826" s="181"/>
      <c r="H826" s="181"/>
      <c r="I826" s="181"/>
      <c r="J826" s="181"/>
      <c r="K826" s="182"/>
      <c r="L826" s="182"/>
    </row>
    <row r="827" spans="1:12" ht="15.75" customHeight="1">
      <c r="A827" s="180"/>
      <c r="B827" s="181"/>
      <c r="C827" s="181"/>
      <c r="D827" s="181"/>
      <c r="E827" s="181"/>
      <c r="F827" s="181"/>
      <c r="G827" s="181"/>
      <c r="H827" s="181"/>
      <c r="I827" s="181"/>
      <c r="J827" s="181"/>
      <c r="K827" s="182"/>
      <c r="L827" s="182"/>
    </row>
    <row r="828" spans="1:12" ht="15.75" customHeight="1">
      <c r="A828" s="183"/>
      <c r="B828" s="184"/>
      <c r="C828" s="184"/>
      <c r="D828" s="184"/>
      <c r="E828" s="184"/>
      <c r="F828" s="184"/>
      <c r="G828" s="184"/>
      <c r="H828" s="184"/>
      <c r="I828" s="184"/>
      <c r="J828" s="184"/>
      <c r="K828" s="185"/>
      <c r="L828" s="185"/>
    </row>
  </sheetData>
  <dataValidations count="3">
    <dataValidation type="custom" allowBlank="1" showDropDown="1" sqref="I2:J12" xr:uid="{00000000-0002-0000-0600-000000000000}">
      <formula1>OR(NOT(ISERROR(DATEVALUE(I2))), AND(ISNUMBER(I2), LEFT(CELL("format", I2))="D"))</formula1>
    </dataValidation>
    <dataValidation type="custom" allowBlank="1" showDropDown="1" sqref="H2:H12" xr:uid="{00000000-0002-0000-0600-000001000000}">
      <formula1>AND(ISNUMBER(H2),(NOT(OR(NOT(ISERROR(DATEVALUE(H2))), AND(ISNUMBER(H2), LEFT(CELL("format", H2))="D")))))</formula1>
    </dataValidation>
    <dataValidation allowBlank="1" showDropDown="1" sqref="B2:G12 K2:L12" xr:uid="{00000000-0002-0000-0600-000002000000}"/>
  </dataValidations>
  <pageMargins left="0.75" right="0.75" top="1" bottom="1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D68F"/>
  </sheetPr>
  <dimension ref="A1:Z1000"/>
  <sheetViews>
    <sheetView showGridLines="0" workbookViewId="0">
      <selection sqref="A1:K1"/>
    </sheetView>
  </sheetViews>
  <sheetFormatPr baseColWidth="10" defaultColWidth="14.42578125" defaultRowHeight="15" customHeight="1"/>
  <cols>
    <col min="1" max="1" width="15.42578125" customWidth="1"/>
    <col min="2" max="2" width="11" customWidth="1"/>
    <col min="3" max="4" width="12" customWidth="1"/>
    <col min="5" max="5" width="11" customWidth="1"/>
    <col min="6" max="6" width="12" customWidth="1"/>
    <col min="7" max="9" width="11" customWidth="1"/>
    <col min="10" max="10" width="13" customWidth="1"/>
    <col min="11" max="26" width="8.7109375" customWidth="1"/>
  </cols>
  <sheetData>
    <row r="1" spans="1:26" ht="31.5" customHeight="1">
      <c r="A1" s="239" t="s">
        <v>1281</v>
      </c>
      <c r="B1" s="228"/>
      <c r="C1" s="228"/>
      <c r="D1" s="228"/>
      <c r="E1" s="228"/>
      <c r="F1" s="228"/>
      <c r="G1" s="228"/>
      <c r="H1" s="228"/>
      <c r="I1" s="228"/>
      <c r="J1" s="228"/>
      <c r="K1" s="229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 spans="1:26" ht="27.75" customHeight="1">
      <c r="D2" s="240" t="s">
        <v>1282</v>
      </c>
      <c r="E2" s="241"/>
      <c r="F2" s="195">
        <v>2026</v>
      </c>
    </row>
    <row r="3" spans="1:26" ht="30" customHeight="1">
      <c r="A3" s="11" t="s">
        <v>1283</v>
      </c>
      <c r="B3" s="11" t="s">
        <v>1284</v>
      </c>
      <c r="C3" s="11" t="s">
        <v>1285</v>
      </c>
      <c r="D3" s="11" t="s">
        <v>1286</v>
      </c>
      <c r="E3" s="11" t="s">
        <v>4</v>
      </c>
      <c r="F3" s="11" t="s">
        <v>1287</v>
      </c>
      <c r="G3" s="11" t="s">
        <v>1288</v>
      </c>
      <c r="H3" s="11" t="s">
        <v>5</v>
      </c>
      <c r="I3" s="11" t="s">
        <v>1289</v>
      </c>
      <c r="J3" s="11" t="s">
        <v>1290</v>
      </c>
    </row>
    <row r="4" spans="1:26" ht="19.5" customHeight="1">
      <c r="A4" s="196">
        <f>DATE($F$2,1,1)</f>
        <v>46023</v>
      </c>
      <c r="B4" s="197">
        <f>COUNTIFS(Akquise[Erstkontakt am],"&gt;="&amp;$A4,Akquise[Erstkontakt am],"&lt;"&amp;EDATE($A4,1))</f>
        <v>0</v>
      </c>
      <c r="C4" s="197">
        <f>COUNTIFS(Akquise[Erstkontakt am],"&gt;="&amp;$A4,Akquise[Erstkontakt am],"&lt;"&amp;EDATE($A4,1),Akquise[Akquise-Ergebnis],"Qualifiziert")</f>
        <v>0</v>
      </c>
      <c r="D4" s="16" t="str">
        <f t="shared" ref="D4:D16" si="0">IFERROR(C4/B4,"")</f>
        <v/>
      </c>
      <c r="E4" s="197">
        <f>COUNTIFS(QualliCalls[Quali-Call am],"&gt;="&amp;$A4,QualliCalls[Quali-Call am],"&lt;"&amp;EDATE($A4,1))</f>
        <v>0</v>
      </c>
      <c r="F4" s="197">
        <f>COUNTIFS(QualliCalls[Quali-Call am],"&gt;="&amp;$A4,QualliCalls[Quali-Call am],"&lt;"&amp;EDATE($A4,1),QualliCalls[Quali-Ergebnis],"Qualifiziert")</f>
        <v>0</v>
      </c>
      <c r="G4" s="16" t="str">
        <f t="shared" ref="G4:G16" si="1">IFERROR(F4/E4,"")</f>
        <v/>
      </c>
      <c r="H4" s="197">
        <f>COUNTIFS(SaleCalls[Closing-Call am],"&gt;="&amp;$A4,SaleCalls[Closing-Call am],"&lt;"&amp;EDATE($A4,1))</f>
        <v>0</v>
      </c>
      <c r="I4" s="197">
        <f>COUNTIFS(SaleCalls[Closing-Call am],"&gt;="&amp;$A4,SaleCalls[Closing-Call am],"&lt;"&amp;EDATE($A4,1),SaleCalls[Sales-Ergebnis],"Abgeschlossen")</f>
        <v>0</v>
      </c>
      <c r="J4" s="16" t="str">
        <f t="shared" ref="J4:J16" si="2">IFERROR(I4/H4,"")</f>
        <v/>
      </c>
    </row>
    <row r="5" spans="1:26" ht="19.5" customHeight="1">
      <c r="A5" s="198">
        <f>DATE($F$2,2,1)</f>
        <v>46054</v>
      </c>
      <c r="B5" s="199">
        <f>COUNTIFS(Akquise[Erstkontakt am],"&gt;="&amp;$A5,Akquise[Erstkontakt am],"&lt;"&amp;EDATE($A5,1))</f>
        <v>0</v>
      </c>
      <c r="C5" s="199">
        <f>COUNTIFS(Akquise[Erstkontakt am],"&gt;="&amp;$A5,Akquise[Erstkontakt am],"&lt;"&amp;EDATE($A5,1),Akquise[Akquise-Ergebnis],"Qualifiziert")</f>
        <v>0</v>
      </c>
      <c r="D5" s="200" t="str">
        <f t="shared" si="0"/>
        <v/>
      </c>
      <c r="E5" s="199">
        <f>COUNTIFS(QualliCalls[Quali-Call am],"&gt;="&amp;$A5,QualliCalls[Quali-Call am],"&lt;"&amp;EDATE($A5,1))</f>
        <v>0</v>
      </c>
      <c r="F5" s="199">
        <f>COUNTIFS(QualliCalls[Quali-Call am],"&gt;="&amp;$A5,QualliCalls[Quali-Call am],"&lt;"&amp;EDATE($A5,1),QualliCalls[Quali-Ergebnis],"Qualifiziert")</f>
        <v>0</v>
      </c>
      <c r="G5" s="200" t="str">
        <f t="shared" si="1"/>
        <v/>
      </c>
      <c r="H5" s="199">
        <f>COUNTIFS(SaleCalls[Closing-Call am],"&gt;="&amp;$A5,SaleCalls[Closing-Call am],"&lt;"&amp;EDATE($A5,1))</f>
        <v>0</v>
      </c>
      <c r="I5" s="199">
        <f>COUNTIFS(SaleCalls[Closing-Call am],"&gt;="&amp;$A5,SaleCalls[Closing-Call am],"&lt;"&amp;EDATE($A5,1),SaleCalls[Sales-Ergebnis],"Abgeschlossen")</f>
        <v>0</v>
      </c>
      <c r="J5" s="200" t="str">
        <f t="shared" si="2"/>
        <v/>
      </c>
    </row>
    <row r="6" spans="1:26" ht="19.5" customHeight="1">
      <c r="A6" s="196">
        <f>DATE($F$2,3,1)</f>
        <v>46082</v>
      </c>
      <c r="B6" s="197">
        <f>COUNTIFS(Akquise[Erstkontakt am],"&gt;="&amp;$A6,Akquise[Erstkontakt am],"&lt;"&amp;EDATE($A6,1))</f>
        <v>0</v>
      </c>
      <c r="C6" s="197">
        <f>COUNTIFS(Akquise[Erstkontakt am],"&gt;="&amp;$A6,Akquise[Erstkontakt am],"&lt;"&amp;EDATE($A6,1),Akquise[Akquise-Ergebnis],"Qualifiziert")</f>
        <v>0</v>
      </c>
      <c r="D6" s="16" t="str">
        <f t="shared" si="0"/>
        <v/>
      </c>
      <c r="E6" s="197">
        <f>COUNTIFS(QualliCalls[Quali-Call am],"&gt;="&amp;$A6,QualliCalls[Quali-Call am],"&lt;"&amp;EDATE($A6,1))</f>
        <v>0</v>
      </c>
      <c r="F6" s="197">
        <f>COUNTIFS(QualliCalls[Quali-Call am],"&gt;="&amp;$A6,QualliCalls[Quali-Call am],"&lt;"&amp;EDATE($A6,1),QualliCalls[Quali-Ergebnis],"Qualifiziert")</f>
        <v>0</v>
      </c>
      <c r="G6" s="16" t="str">
        <f t="shared" si="1"/>
        <v/>
      </c>
      <c r="H6" s="197">
        <f>COUNTIFS(SaleCalls[Closing-Call am],"&gt;="&amp;$A6,SaleCalls[Closing-Call am],"&lt;"&amp;EDATE($A6,1))</f>
        <v>0</v>
      </c>
      <c r="I6" s="197">
        <f>COUNTIFS(SaleCalls[Closing-Call am],"&gt;="&amp;$A6,SaleCalls[Closing-Call am],"&lt;"&amp;EDATE($A6,1),SaleCalls[Sales-Ergebnis],"Abgeschlossen")</f>
        <v>0</v>
      </c>
      <c r="J6" s="16" t="str">
        <f t="shared" si="2"/>
        <v/>
      </c>
    </row>
    <row r="7" spans="1:26" ht="19.5" customHeight="1">
      <c r="A7" s="198">
        <f>DATE($F$2,4,1)</f>
        <v>46113</v>
      </c>
      <c r="B7" s="199">
        <f>COUNTIFS(Akquise[Erstkontakt am],"&gt;="&amp;$A7,Akquise[Erstkontakt am],"&lt;"&amp;EDATE($A7,1))</f>
        <v>0</v>
      </c>
      <c r="C7" s="199">
        <f>COUNTIFS(Akquise[Erstkontakt am],"&gt;="&amp;$A7,Akquise[Erstkontakt am],"&lt;"&amp;EDATE($A7,1),Akquise[Akquise-Ergebnis],"Qualifiziert")</f>
        <v>0</v>
      </c>
      <c r="D7" s="200" t="str">
        <f t="shared" si="0"/>
        <v/>
      </c>
      <c r="E7" s="199">
        <f>COUNTIFS(QualliCalls[Quali-Call am],"&gt;="&amp;$A7,QualliCalls[Quali-Call am],"&lt;"&amp;EDATE($A7,1))</f>
        <v>0</v>
      </c>
      <c r="F7" s="199">
        <f>COUNTIFS(QualliCalls[Quali-Call am],"&gt;="&amp;$A7,QualliCalls[Quali-Call am],"&lt;"&amp;EDATE($A7,1),QualliCalls[Quali-Ergebnis],"Qualifiziert")</f>
        <v>0</v>
      </c>
      <c r="G7" s="200" t="str">
        <f t="shared" si="1"/>
        <v/>
      </c>
      <c r="H7" s="199">
        <f>COUNTIFS(SaleCalls[Closing-Call am],"&gt;="&amp;$A7,SaleCalls[Closing-Call am],"&lt;"&amp;EDATE($A7,1))</f>
        <v>0</v>
      </c>
      <c r="I7" s="199">
        <f>COUNTIFS(SaleCalls[Closing-Call am],"&gt;="&amp;$A7,SaleCalls[Closing-Call am],"&lt;"&amp;EDATE($A7,1),SaleCalls[Sales-Ergebnis],"Abgeschlossen")</f>
        <v>0</v>
      </c>
      <c r="J7" s="200" t="str">
        <f t="shared" si="2"/>
        <v/>
      </c>
    </row>
    <row r="8" spans="1:26" ht="19.5" customHeight="1">
      <c r="A8" s="196">
        <f>DATE($F$2,5,1)</f>
        <v>46143</v>
      </c>
      <c r="B8" s="197">
        <f>COUNTIFS(Akquise[Erstkontakt am],"&gt;="&amp;$A8,Akquise[Erstkontakt am],"&lt;"&amp;EDATE($A8,1))</f>
        <v>1</v>
      </c>
      <c r="C8" s="197">
        <f>COUNTIFS(Akquise[Erstkontakt am],"&gt;="&amp;$A8,Akquise[Erstkontakt am],"&lt;"&amp;EDATE($A8,1),Akquise[Akquise-Ergebnis],"Qualifiziert")</f>
        <v>1</v>
      </c>
      <c r="D8" s="16">
        <f t="shared" si="0"/>
        <v>1</v>
      </c>
      <c r="E8" s="197">
        <f>COUNTIFS(QualliCalls[Quali-Call am],"&gt;="&amp;$A8,QualliCalls[Quali-Call am],"&lt;"&amp;EDATE($A8,1))</f>
        <v>1</v>
      </c>
      <c r="F8" s="197">
        <f>COUNTIFS(QualliCalls[Quali-Call am],"&gt;="&amp;$A8,QualliCalls[Quali-Call am],"&lt;"&amp;EDATE($A8,1),QualliCalls[Quali-Ergebnis],"Qualifiziert")</f>
        <v>1</v>
      </c>
      <c r="G8" s="16">
        <f t="shared" si="1"/>
        <v>1</v>
      </c>
      <c r="H8" s="197">
        <f>COUNTIFS(SaleCalls[Closing-Call am],"&gt;="&amp;$A8,SaleCalls[Closing-Call am],"&lt;"&amp;EDATE($A8,1))</f>
        <v>1</v>
      </c>
      <c r="I8" s="197">
        <f>COUNTIFS(SaleCalls[Closing-Call am],"&gt;="&amp;$A8,SaleCalls[Closing-Call am],"&lt;"&amp;EDATE($A8,1),SaleCalls[Sales-Ergebnis],"Abgeschlossen")</f>
        <v>1</v>
      </c>
      <c r="J8" s="16">
        <f t="shared" si="2"/>
        <v>1</v>
      </c>
    </row>
    <row r="9" spans="1:26" ht="19.5" customHeight="1">
      <c r="A9" s="198">
        <f>DATE($F$2,6,1)</f>
        <v>46174</v>
      </c>
      <c r="B9" s="199">
        <f>COUNTIFS(Akquise[Erstkontakt am],"&gt;="&amp;$A9,Akquise[Erstkontakt am],"&lt;"&amp;EDATE($A9,1))</f>
        <v>1</v>
      </c>
      <c r="C9" s="199">
        <f>COUNTIFS(Akquise[Erstkontakt am],"&gt;="&amp;$A9,Akquise[Erstkontakt am],"&lt;"&amp;EDATE($A9,1),Akquise[Akquise-Ergebnis],"Qualifiziert")</f>
        <v>1</v>
      </c>
      <c r="D9" s="200">
        <f t="shared" si="0"/>
        <v>1</v>
      </c>
      <c r="E9" s="199">
        <f>COUNTIFS(QualliCalls[Quali-Call am],"&gt;="&amp;$A9,QualliCalls[Quali-Call am],"&lt;"&amp;EDATE($A9,1))</f>
        <v>1</v>
      </c>
      <c r="F9" s="199">
        <f>COUNTIFS(QualliCalls[Quali-Call am],"&gt;="&amp;$A9,QualliCalls[Quali-Call am],"&lt;"&amp;EDATE($A9,1),QualliCalls[Quali-Ergebnis],"Qualifiziert")</f>
        <v>1</v>
      </c>
      <c r="G9" s="200">
        <f t="shared" si="1"/>
        <v>1</v>
      </c>
      <c r="H9" s="199">
        <f>COUNTIFS(SaleCalls[Closing-Call am],"&gt;="&amp;$A9,SaleCalls[Closing-Call am],"&lt;"&amp;EDATE($A9,1))</f>
        <v>0</v>
      </c>
      <c r="I9" s="199">
        <f>COUNTIFS(SaleCalls[Closing-Call am],"&gt;="&amp;$A9,SaleCalls[Closing-Call am],"&lt;"&amp;EDATE($A9,1),SaleCalls[Sales-Ergebnis],"Abgeschlossen")</f>
        <v>0</v>
      </c>
      <c r="J9" s="200" t="str">
        <f t="shared" si="2"/>
        <v/>
      </c>
    </row>
    <row r="10" spans="1:26" ht="19.5" customHeight="1">
      <c r="A10" s="196">
        <f>DATE($F$2,7,1)</f>
        <v>46204</v>
      </c>
      <c r="B10" s="197">
        <f>COUNTIFS(Akquise[Erstkontakt am],"&gt;="&amp;$A10,Akquise[Erstkontakt am],"&lt;"&amp;EDATE($A10,1))</f>
        <v>0</v>
      </c>
      <c r="C10" s="197">
        <f>COUNTIFS(Akquise[Erstkontakt am],"&gt;="&amp;$A10,Akquise[Erstkontakt am],"&lt;"&amp;EDATE($A10,1),Akquise[Akquise-Ergebnis],"Qualifiziert")</f>
        <v>0</v>
      </c>
      <c r="D10" s="16" t="str">
        <f t="shared" si="0"/>
        <v/>
      </c>
      <c r="E10" s="197">
        <f>COUNTIFS(QualliCalls[Quali-Call am],"&gt;="&amp;$A10,QualliCalls[Quali-Call am],"&lt;"&amp;EDATE($A10,1))</f>
        <v>0</v>
      </c>
      <c r="F10" s="197">
        <f>COUNTIFS(QualliCalls[Quali-Call am],"&gt;="&amp;$A10,QualliCalls[Quali-Call am],"&lt;"&amp;EDATE($A10,1),QualliCalls[Quali-Ergebnis],"Qualifiziert")</f>
        <v>0</v>
      </c>
      <c r="G10" s="16" t="str">
        <f t="shared" si="1"/>
        <v/>
      </c>
      <c r="H10" s="197">
        <f>COUNTIFS(SaleCalls[Closing-Call am],"&gt;="&amp;$A10,SaleCalls[Closing-Call am],"&lt;"&amp;EDATE($A10,1))</f>
        <v>0</v>
      </c>
      <c r="I10" s="197">
        <f>COUNTIFS(SaleCalls[Closing-Call am],"&gt;="&amp;$A10,SaleCalls[Closing-Call am],"&lt;"&amp;EDATE($A10,1),SaleCalls[Sales-Ergebnis],"Abgeschlossen")</f>
        <v>0</v>
      </c>
      <c r="J10" s="16" t="str">
        <f t="shared" si="2"/>
        <v/>
      </c>
    </row>
    <row r="11" spans="1:26" ht="19.5" customHeight="1">
      <c r="A11" s="198">
        <f>DATE($F$2,8,1)</f>
        <v>46235</v>
      </c>
      <c r="B11" s="199">
        <f>COUNTIFS(Akquise[Erstkontakt am],"&gt;="&amp;$A11,Akquise[Erstkontakt am],"&lt;"&amp;EDATE($A11,1))</f>
        <v>0</v>
      </c>
      <c r="C11" s="199">
        <f>COUNTIFS(Akquise[Erstkontakt am],"&gt;="&amp;$A11,Akquise[Erstkontakt am],"&lt;"&amp;EDATE($A11,1),Akquise[Akquise-Ergebnis],"Qualifiziert")</f>
        <v>0</v>
      </c>
      <c r="D11" s="200" t="str">
        <f t="shared" si="0"/>
        <v/>
      </c>
      <c r="E11" s="199">
        <f>COUNTIFS(QualliCalls[Quali-Call am],"&gt;="&amp;$A11,QualliCalls[Quali-Call am],"&lt;"&amp;EDATE($A11,1))</f>
        <v>0</v>
      </c>
      <c r="F11" s="199">
        <f>COUNTIFS(QualliCalls[Quali-Call am],"&gt;="&amp;$A11,QualliCalls[Quali-Call am],"&lt;"&amp;EDATE($A11,1),QualliCalls[Quali-Ergebnis],"Qualifiziert")</f>
        <v>0</v>
      </c>
      <c r="G11" s="200" t="str">
        <f t="shared" si="1"/>
        <v/>
      </c>
      <c r="H11" s="199">
        <f>COUNTIFS(SaleCalls[Closing-Call am],"&gt;="&amp;$A11,SaleCalls[Closing-Call am],"&lt;"&amp;EDATE($A11,1))</f>
        <v>0</v>
      </c>
      <c r="I11" s="199">
        <f>COUNTIFS(SaleCalls[Closing-Call am],"&gt;="&amp;$A11,SaleCalls[Closing-Call am],"&lt;"&amp;EDATE($A11,1),SaleCalls[Sales-Ergebnis],"Abgeschlossen")</f>
        <v>0</v>
      </c>
      <c r="J11" s="200" t="str">
        <f t="shared" si="2"/>
        <v/>
      </c>
    </row>
    <row r="12" spans="1:26" ht="19.5" customHeight="1">
      <c r="A12" s="196">
        <f>DATE($F$2,9,1)</f>
        <v>46266</v>
      </c>
      <c r="B12" s="197">
        <f>COUNTIFS(Akquise[Erstkontakt am],"&gt;="&amp;$A12,Akquise[Erstkontakt am],"&lt;"&amp;EDATE($A12,1))</f>
        <v>0</v>
      </c>
      <c r="C12" s="197">
        <f>COUNTIFS(Akquise[Erstkontakt am],"&gt;="&amp;$A12,Akquise[Erstkontakt am],"&lt;"&amp;EDATE($A12,1),Akquise[Akquise-Ergebnis],"Qualifiziert")</f>
        <v>0</v>
      </c>
      <c r="D12" s="16" t="str">
        <f t="shared" si="0"/>
        <v/>
      </c>
      <c r="E12" s="197">
        <f>COUNTIFS(QualliCalls[Quali-Call am],"&gt;="&amp;$A12,QualliCalls[Quali-Call am],"&lt;"&amp;EDATE($A12,1))</f>
        <v>0</v>
      </c>
      <c r="F12" s="197">
        <f>COUNTIFS(QualliCalls[Quali-Call am],"&gt;="&amp;$A12,QualliCalls[Quali-Call am],"&lt;"&amp;EDATE($A12,1),QualliCalls[Quali-Ergebnis],"Qualifiziert")</f>
        <v>0</v>
      </c>
      <c r="G12" s="16" t="str">
        <f t="shared" si="1"/>
        <v/>
      </c>
      <c r="H12" s="197">
        <f>COUNTIFS(SaleCalls[Closing-Call am],"&gt;="&amp;$A12,SaleCalls[Closing-Call am],"&lt;"&amp;EDATE($A12,1))</f>
        <v>0</v>
      </c>
      <c r="I12" s="197">
        <f>COUNTIFS(SaleCalls[Closing-Call am],"&gt;="&amp;$A12,SaleCalls[Closing-Call am],"&lt;"&amp;EDATE($A12,1),SaleCalls[Sales-Ergebnis],"Abgeschlossen")</f>
        <v>0</v>
      </c>
      <c r="J12" s="16" t="str">
        <f t="shared" si="2"/>
        <v/>
      </c>
    </row>
    <row r="13" spans="1:26" ht="19.5" customHeight="1">
      <c r="A13" s="198">
        <f>DATE($F$2,10,1)</f>
        <v>46296</v>
      </c>
      <c r="B13" s="199">
        <f>COUNTIFS(Akquise[Erstkontakt am],"&gt;="&amp;$A13,Akquise[Erstkontakt am],"&lt;"&amp;EDATE($A13,1))</f>
        <v>0</v>
      </c>
      <c r="C13" s="199">
        <f>COUNTIFS(Akquise[Erstkontakt am],"&gt;="&amp;$A13,Akquise[Erstkontakt am],"&lt;"&amp;EDATE($A13,1),Akquise[Akquise-Ergebnis],"Qualifiziert")</f>
        <v>0</v>
      </c>
      <c r="D13" s="200" t="str">
        <f t="shared" si="0"/>
        <v/>
      </c>
      <c r="E13" s="199">
        <f>COUNTIFS(QualliCalls[Quali-Call am],"&gt;="&amp;$A13,QualliCalls[Quali-Call am],"&lt;"&amp;EDATE($A13,1))</f>
        <v>0</v>
      </c>
      <c r="F13" s="199">
        <f>COUNTIFS(QualliCalls[Quali-Call am],"&gt;="&amp;$A13,QualliCalls[Quali-Call am],"&lt;"&amp;EDATE($A13,1),QualliCalls[Quali-Ergebnis],"Qualifiziert")</f>
        <v>0</v>
      </c>
      <c r="G13" s="200" t="str">
        <f t="shared" si="1"/>
        <v/>
      </c>
      <c r="H13" s="199">
        <f>COUNTIFS(SaleCalls[Closing-Call am],"&gt;="&amp;$A13,SaleCalls[Closing-Call am],"&lt;"&amp;EDATE($A13,1))</f>
        <v>0</v>
      </c>
      <c r="I13" s="199">
        <f>COUNTIFS(SaleCalls[Closing-Call am],"&gt;="&amp;$A13,SaleCalls[Closing-Call am],"&lt;"&amp;EDATE($A13,1),SaleCalls[Sales-Ergebnis],"Abgeschlossen")</f>
        <v>0</v>
      </c>
      <c r="J13" s="200" t="str">
        <f t="shared" si="2"/>
        <v/>
      </c>
    </row>
    <row r="14" spans="1:26" ht="19.5" customHeight="1">
      <c r="A14" s="196">
        <f>DATE($F$2,11,1)</f>
        <v>46327</v>
      </c>
      <c r="B14" s="197">
        <f>COUNTIFS(Akquise[Erstkontakt am],"&gt;="&amp;$A14,Akquise[Erstkontakt am],"&lt;"&amp;EDATE($A14,1))</f>
        <v>0</v>
      </c>
      <c r="C14" s="197">
        <f>COUNTIFS(Akquise[Erstkontakt am],"&gt;="&amp;$A14,Akquise[Erstkontakt am],"&lt;"&amp;EDATE($A14,1),Akquise[Akquise-Ergebnis],"Qualifiziert")</f>
        <v>0</v>
      </c>
      <c r="D14" s="16" t="str">
        <f t="shared" si="0"/>
        <v/>
      </c>
      <c r="E14" s="197">
        <f>COUNTIFS(QualliCalls[Quali-Call am],"&gt;="&amp;$A14,QualliCalls[Quali-Call am],"&lt;"&amp;EDATE($A14,1))</f>
        <v>0</v>
      </c>
      <c r="F14" s="197">
        <f>COUNTIFS(QualliCalls[Quali-Call am],"&gt;="&amp;$A14,QualliCalls[Quali-Call am],"&lt;"&amp;EDATE($A14,1),QualliCalls[Quali-Ergebnis],"Qualifiziert")</f>
        <v>0</v>
      </c>
      <c r="G14" s="16" t="str">
        <f t="shared" si="1"/>
        <v/>
      </c>
      <c r="H14" s="197">
        <f>COUNTIFS(SaleCalls[Closing-Call am],"&gt;="&amp;$A14,SaleCalls[Closing-Call am],"&lt;"&amp;EDATE($A14,1))</f>
        <v>0</v>
      </c>
      <c r="I14" s="197">
        <f>COUNTIFS(SaleCalls[Closing-Call am],"&gt;="&amp;$A14,SaleCalls[Closing-Call am],"&lt;"&amp;EDATE($A14,1),SaleCalls[Sales-Ergebnis],"Abgeschlossen")</f>
        <v>0</v>
      </c>
      <c r="J14" s="16" t="str">
        <f t="shared" si="2"/>
        <v/>
      </c>
    </row>
    <row r="15" spans="1:26" ht="19.5" customHeight="1">
      <c r="A15" s="198">
        <f>DATE($F$2,12,1)</f>
        <v>46357</v>
      </c>
      <c r="B15" s="199">
        <f>COUNTIFS(Akquise[Erstkontakt am],"&gt;="&amp;$A15,Akquise[Erstkontakt am],"&lt;"&amp;EDATE($A15,1))</f>
        <v>0</v>
      </c>
      <c r="C15" s="199">
        <f>COUNTIFS(Akquise[Erstkontakt am],"&gt;="&amp;$A15,Akquise[Erstkontakt am],"&lt;"&amp;EDATE($A15,1),Akquise[Akquise-Ergebnis],"Qualifiziert")</f>
        <v>0</v>
      </c>
      <c r="D15" s="200" t="str">
        <f t="shared" si="0"/>
        <v/>
      </c>
      <c r="E15" s="199">
        <f>COUNTIFS(QualliCalls[Quali-Call am],"&gt;="&amp;$A15,QualliCalls[Quali-Call am],"&lt;"&amp;EDATE($A15,1))</f>
        <v>0</v>
      </c>
      <c r="F15" s="199">
        <f>COUNTIFS(QualliCalls[Quali-Call am],"&gt;="&amp;$A15,QualliCalls[Quali-Call am],"&lt;"&amp;EDATE($A15,1),QualliCalls[Quali-Ergebnis],"Qualifiziert")</f>
        <v>0</v>
      </c>
      <c r="G15" s="200" t="str">
        <f t="shared" si="1"/>
        <v/>
      </c>
      <c r="H15" s="199">
        <f>COUNTIFS(SaleCalls[Closing-Call am],"&gt;="&amp;$A15,SaleCalls[Closing-Call am],"&lt;"&amp;EDATE($A15,1))</f>
        <v>0</v>
      </c>
      <c r="I15" s="199">
        <f>COUNTIFS(SaleCalls[Closing-Call am],"&gt;="&amp;$A15,SaleCalls[Closing-Call am],"&lt;"&amp;EDATE($A15,1),SaleCalls[Sales-Ergebnis],"Abgeschlossen")</f>
        <v>0</v>
      </c>
      <c r="J15" s="200" t="str">
        <f t="shared" si="2"/>
        <v/>
      </c>
    </row>
    <row r="16" spans="1:26" ht="21.75" customHeight="1">
      <c r="A16" s="201" t="s">
        <v>1291</v>
      </c>
      <c r="B16" s="201">
        <f t="shared" ref="B16:C16" si="3">SUM(B4:B15)</f>
        <v>2</v>
      </c>
      <c r="C16" s="201">
        <f t="shared" si="3"/>
        <v>2</v>
      </c>
      <c r="D16" s="202">
        <f t="shared" si="0"/>
        <v>1</v>
      </c>
      <c r="E16" s="201">
        <f t="shared" ref="E16:F16" si="4">SUM(E4:E15)</f>
        <v>2</v>
      </c>
      <c r="F16" s="201">
        <f t="shared" si="4"/>
        <v>2</v>
      </c>
      <c r="G16" s="202">
        <f t="shared" si="1"/>
        <v>1</v>
      </c>
      <c r="H16" s="201">
        <f t="shared" ref="H16:I16" si="5">SUM(H4:H15)</f>
        <v>1</v>
      </c>
      <c r="I16" s="201">
        <f t="shared" si="5"/>
        <v>1</v>
      </c>
      <c r="J16" s="202">
        <f t="shared" si="2"/>
        <v>1</v>
      </c>
    </row>
    <row r="18" spans="1:11" ht="15" customHeight="1">
      <c r="A18" s="242" t="s">
        <v>1292</v>
      </c>
      <c r="B18" s="232"/>
      <c r="C18" s="232"/>
      <c r="D18" s="232"/>
      <c r="E18" s="232"/>
      <c r="F18" s="232"/>
      <c r="G18" s="232"/>
      <c r="H18" s="232"/>
      <c r="I18" s="232"/>
      <c r="J18" s="232"/>
      <c r="K18" s="232"/>
    </row>
    <row r="19" spans="1:11" ht="15" customHeight="1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</row>
    <row r="20" spans="1:11" ht="15" customHeight="1">
      <c r="A20" s="232"/>
      <c r="B20" s="232"/>
      <c r="C20" s="232"/>
      <c r="D20" s="232"/>
      <c r="E20" s="232"/>
      <c r="F20" s="232"/>
      <c r="G20" s="232"/>
      <c r="H20" s="232"/>
      <c r="I20" s="232"/>
      <c r="J20" s="232"/>
      <c r="K20" s="232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D2:E2"/>
    <mergeCell ref="A18:K20"/>
  </mergeCells>
  <dataValidations count="1">
    <dataValidation type="list" allowBlank="1" sqref="F2" xr:uid="{00000000-0002-0000-0700-000000000000}">
      <formula1>"2024,2025,2026,2027,2028,2029,2030,2031,2032,2033,2034,2035"</formula1>
    </dataValidation>
  </dataValidation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B020"/>
  </sheetPr>
  <dimension ref="A1:G1000"/>
  <sheetViews>
    <sheetView showGridLines="0" workbookViewId="0"/>
  </sheetViews>
  <sheetFormatPr baseColWidth="10" defaultColWidth="14.42578125" defaultRowHeight="15" customHeight="1"/>
  <cols>
    <col min="1" max="1" width="2" customWidth="1"/>
    <col min="2" max="2" width="13.7109375" customWidth="1"/>
    <col min="3" max="4" width="15" customWidth="1"/>
    <col min="5" max="7" width="18" customWidth="1"/>
    <col min="8" max="26" width="8.7109375" customWidth="1"/>
  </cols>
  <sheetData>
    <row r="1" spans="1:7" ht="31.5" customHeight="1">
      <c r="A1" s="1"/>
      <c r="B1" s="239" t="s">
        <v>1293</v>
      </c>
      <c r="C1" s="228"/>
      <c r="D1" s="228"/>
      <c r="E1" s="228"/>
      <c r="F1" s="228"/>
      <c r="G1" s="229"/>
    </row>
    <row r="2" spans="1:7" ht="29.25" customHeight="1">
      <c r="D2" s="240" t="s">
        <v>1282</v>
      </c>
      <c r="E2" s="241"/>
      <c r="F2" s="195">
        <v>2026</v>
      </c>
    </row>
    <row r="3" spans="1:7" ht="33.75" customHeight="1">
      <c r="B3" s="11" t="s">
        <v>1283</v>
      </c>
      <c r="C3" s="11" t="s">
        <v>1294</v>
      </c>
      <c r="D3" s="11" t="s">
        <v>1295</v>
      </c>
      <c r="E3" s="11" t="s">
        <v>1296</v>
      </c>
      <c r="F3" s="11" t="s">
        <v>1297</v>
      </c>
      <c r="G3" s="11" t="s">
        <v>1298</v>
      </c>
    </row>
    <row r="4" spans="1:7" ht="19.5" customHeight="1">
      <c r="B4" s="196">
        <f>DATE($F$2,1,1)</f>
        <v>46023</v>
      </c>
      <c r="C4" s="197">
        <f>COUNTIFS(Kunden[Abschluss am],"&gt;="&amp;$B4,Kunden[Abschluss am],"&lt;"&amp;EDATE($B4,1))</f>
        <v>0</v>
      </c>
      <c r="D4" s="197"/>
      <c r="E4" s="203">
        <f>SUMIFS(Kunden[Auftragsvolumen (€)],Kunden[Abschluss am],"&gt;="&amp;$B4,Kunden[Abschluss am],"&lt;"&amp;EDATE($B4,1))</f>
        <v>0</v>
      </c>
      <c r="F4" s="203"/>
      <c r="G4" s="203"/>
    </row>
    <row r="5" spans="1:7" ht="19.5" customHeight="1">
      <c r="B5" s="198">
        <f>DATE($F$2,2,1)</f>
        <v>46054</v>
      </c>
      <c r="C5" s="199">
        <f>COUNTIFS(Kunden[Abschluss am],"&gt;="&amp;$B5,Kunden[Abschluss am],"&lt;"&amp;EDATE($B5,1))</f>
        <v>0</v>
      </c>
      <c r="D5" s="199"/>
      <c r="E5" s="204">
        <f>SUMIFS(Kunden[Auftragsvolumen (€)],Kunden[Abschluss am],"&gt;="&amp;$B5,Kunden[Abschluss am],"&lt;"&amp;EDATE($B5,1))</f>
        <v>0</v>
      </c>
      <c r="F5" s="204"/>
      <c r="G5" s="204"/>
    </row>
    <row r="6" spans="1:7" ht="19.5" customHeight="1">
      <c r="B6" s="196">
        <f>DATE($F$2,3,1)</f>
        <v>46082</v>
      </c>
      <c r="C6" s="197">
        <f>COUNTIFS(Kunden[Abschluss am],"&gt;="&amp;$B6,Kunden[Abschluss am],"&lt;"&amp;EDATE($B6,1))</f>
        <v>0</v>
      </c>
      <c r="D6" s="197"/>
      <c r="E6" s="203">
        <f>SUMIFS(Kunden[Auftragsvolumen (€)],Kunden[Abschluss am],"&gt;="&amp;$B6,Kunden[Abschluss am],"&lt;"&amp;EDATE($B6,1))</f>
        <v>0</v>
      </c>
      <c r="F6" s="203"/>
      <c r="G6" s="203"/>
    </row>
    <row r="7" spans="1:7" ht="19.5" customHeight="1">
      <c r="B7" s="198">
        <f>DATE($F$2,4,1)</f>
        <v>46113</v>
      </c>
      <c r="C7" s="199">
        <f>COUNTIFS(Kunden[Abschluss am],"&gt;="&amp;$B7,Kunden[Abschluss am],"&lt;"&amp;EDATE($B7,1))</f>
        <v>0</v>
      </c>
      <c r="D7" s="199"/>
      <c r="E7" s="204">
        <f>SUMIFS(Kunden[Auftragsvolumen (€)],Kunden[Abschluss am],"&gt;="&amp;$B7,Kunden[Abschluss am],"&lt;"&amp;EDATE($B7,1))</f>
        <v>0</v>
      </c>
      <c r="F7" s="204"/>
      <c r="G7" s="204"/>
    </row>
    <row r="8" spans="1:7" ht="19.5" customHeight="1">
      <c r="B8" s="196">
        <f>DATE($F$2,5,1)</f>
        <v>46143</v>
      </c>
      <c r="C8" s="197">
        <f>COUNTIFS(Kunden[Abschluss am],"&gt;="&amp;$B8,Kunden[Abschluss am],"&lt;"&amp;EDATE($B8,1))</f>
        <v>0</v>
      </c>
      <c r="D8" s="197"/>
      <c r="E8" s="203">
        <f>SUMIFS(Kunden[Auftragsvolumen (€)],Kunden[Abschluss am],"&gt;="&amp;$B8,Kunden[Abschluss am],"&lt;"&amp;EDATE($B8,1))</f>
        <v>0</v>
      </c>
      <c r="F8" s="203"/>
      <c r="G8" s="203"/>
    </row>
    <row r="9" spans="1:7" ht="19.5" customHeight="1">
      <c r="B9" s="198">
        <f>DATE($F$2,6,1)</f>
        <v>46174</v>
      </c>
      <c r="C9" s="199">
        <f>COUNTIFS(Kunden[Abschluss am],"&gt;="&amp;$B9,Kunden[Abschluss am],"&lt;"&amp;EDATE($B9,1))</f>
        <v>1</v>
      </c>
      <c r="D9" s="199"/>
      <c r="E9" s="204">
        <f>SUMIFS(Kunden[Auftragsvolumen (€)],Kunden[Abschluss am],"&gt;="&amp;$B9,Kunden[Abschluss am],"&lt;"&amp;EDATE($B9,1))</f>
        <v>1300</v>
      </c>
      <c r="F9" s="204"/>
      <c r="G9" s="204"/>
    </row>
    <row r="10" spans="1:7" ht="19.5" customHeight="1">
      <c r="B10" s="196">
        <f>DATE($F$2,7,1)</f>
        <v>46204</v>
      </c>
      <c r="C10" s="197">
        <f>COUNTIFS(Kunden[Abschluss am],"&gt;="&amp;$B10,Kunden[Abschluss am],"&lt;"&amp;EDATE($B10,1))</f>
        <v>0</v>
      </c>
      <c r="D10" s="197"/>
      <c r="E10" s="203">
        <f>SUMIFS(Kunden[Auftragsvolumen (€)],Kunden[Abschluss am],"&gt;="&amp;$B10,Kunden[Abschluss am],"&lt;"&amp;EDATE($B10,1))</f>
        <v>0</v>
      </c>
      <c r="F10" s="203"/>
      <c r="G10" s="203"/>
    </row>
    <row r="11" spans="1:7" ht="19.5" customHeight="1">
      <c r="B11" s="198">
        <f>DATE($F$2,8,1)</f>
        <v>46235</v>
      </c>
      <c r="C11" s="199">
        <f>COUNTIFS(Kunden[Abschluss am],"&gt;="&amp;$B11,Kunden[Abschluss am],"&lt;"&amp;EDATE($B11,1))</f>
        <v>0</v>
      </c>
      <c r="D11" s="199"/>
      <c r="E11" s="204">
        <f>SUMIFS(Kunden[Auftragsvolumen (€)],Kunden[Abschluss am],"&gt;="&amp;$B11,Kunden[Abschluss am],"&lt;"&amp;EDATE($B11,1))</f>
        <v>0</v>
      </c>
      <c r="F11" s="204"/>
      <c r="G11" s="204"/>
    </row>
    <row r="12" spans="1:7" ht="19.5" customHeight="1">
      <c r="B12" s="196">
        <f>DATE($F$2,9,1)</f>
        <v>46266</v>
      </c>
      <c r="C12" s="197">
        <f>COUNTIFS(Kunden[Abschluss am],"&gt;="&amp;$B12,Kunden[Abschluss am],"&lt;"&amp;EDATE($B12,1))</f>
        <v>0</v>
      </c>
      <c r="D12" s="197"/>
      <c r="E12" s="203">
        <f>SUMIFS(Kunden[Auftragsvolumen (€)],Kunden[Abschluss am],"&gt;="&amp;$B12,Kunden[Abschluss am],"&lt;"&amp;EDATE($B12,1))</f>
        <v>0</v>
      </c>
      <c r="F12" s="203"/>
      <c r="G12" s="203"/>
    </row>
    <row r="13" spans="1:7" ht="19.5" customHeight="1">
      <c r="B13" s="198">
        <f>DATE($F$2,10,1)</f>
        <v>46296</v>
      </c>
      <c r="C13" s="199">
        <f>COUNTIFS(Kunden[Abschluss am],"&gt;="&amp;$B13,Kunden[Abschluss am],"&lt;"&amp;EDATE($B13,1))</f>
        <v>0</v>
      </c>
      <c r="D13" s="199"/>
      <c r="E13" s="204">
        <f>SUMIFS(Kunden[Auftragsvolumen (€)],Kunden[Abschluss am],"&gt;="&amp;$B13,Kunden[Abschluss am],"&lt;"&amp;EDATE($B13,1))</f>
        <v>0</v>
      </c>
      <c r="F13" s="204"/>
      <c r="G13" s="204"/>
    </row>
    <row r="14" spans="1:7" ht="19.5" customHeight="1">
      <c r="B14" s="196">
        <f>DATE($F$2,11,1)</f>
        <v>46327</v>
      </c>
      <c r="C14" s="197">
        <f>COUNTIFS(Kunden[Abschluss am],"&gt;="&amp;$B14,Kunden[Abschluss am],"&lt;"&amp;EDATE($B14,1))</f>
        <v>0</v>
      </c>
      <c r="D14" s="197"/>
      <c r="E14" s="203">
        <f>SUMIFS(Kunden[Auftragsvolumen (€)],Kunden[Abschluss am],"&gt;="&amp;$B14,Kunden[Abschluss am],"&lt;"&amp;EDATE($B14,1))</f>
        <v>0</v>
      </c>
      <c r="F14" s="203"/>
      <c r="G14" s="203"/>
    </row>
    <row r="15" spans="1:7" ht="19.5" customHeight="1">
      <c r="B15" s="198">
        <f>DATE($F$2,12,1)</f>
        <v>46357</v>
      </c>
      <c r="C15" s="199">
        <f>COUNTIFS(Kunden[Abschluss am],"&gt;="&amp;$B15,Kunden[Abschluss am],"&lt;"&amp;EDATE($B15,1))</f>
        <v>0</v>
      </c>
      <c r="D15" s="199"/>
      <c r="E15" s="204">
        <f>SUMIFS(Kunden[Auftragsvolumen (€)],Kunden[Abschluss am],"&gt;="&amp;$B15,Kunden[Abschluss am],"&lt;"&amp;EDATE($B15,1))</f>
        <v>0</v>
      </c>
      <c r="F15" s="204"/>
      <c r="G15" s="204"/>
    </row>
    <row r="16" spans="1:7" ht="21.75" customHeight="1">
      <c r="B16" s="205" t="s">
        <v>1299</v>
      </c>
      <c r="C16" s="201">
        <f t="shared" ref="C16:G16" si="0">SUM(C4:C15)</f>
        <v>1</v>
      </c>
      <c r="D16" s="201">
        <f t="shared" si="0"/>
        <v>0</v>
      </c>
      <c r="E16" s="206">
        <f t="shared" si="0"/>
        <v>1300</v>
      </c>
      <c r="F16" s="206">
        <f t="shared" si="0"/>
        <v>0</v>
      </c>
      <c r="G16" s="206">
        <f t="shared" si="0"/>
        <v>0</v>
      </c>
    </row>
    <row r="18" spans="2:2">
      <c r="B18" s="207" t="s">
        <v>1300</v>
      </c>
    </row>
    <row r="19" spans="2:2">
      <c r="B19" s="208" t="s">
        <v>1301</v>
      </c>
    </row>
    <row r="20" spans="2:2">
      <c r="B20" s="208" t="s">
        <v>1302</v>
      </c>
    </row>
    <row r="21" spans="2:2" ht="15.75" customHeight="1">
      <c r="B21" s="208" t="s">
        <v>1303</v>
      </c>
    </row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D2:E2"/>
  </mergeCells>
  <dataValidations count="1">
    <dataValidation type="list" allowBlank="1" sqref="F2" xr:uid="{00000000-0002-0000-0800-000000000000}">
      <formula1>"2024,2025,2026,2027,2028,2029,2030,2031,2032,2033,2034,2035"</formula1>
    </dataValidation>
  </dataValidation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78BFA"/>
  </sheetPr>
  <dimension ref="A1:F1000"/>
  <sheetViews>
    <sheetView showGridLines="0" workbookViewId="0"/>
  </sheetViews>
  <sheetFormatPr baseColWidth="10" defaultColWidth="14.42578125" defaultRowHeight="15" customHeight="1"/>
  <cols>
    <col min="1" max="1" width="2" customWidth="1"/>
    <col min="2" max="2" width="34" customWidth="1"/>
    <col min="3" max="3" width="16" customWidth="1"/>
    <col min="4" max="4" width="2" customWidth="1"/>
    <col min="5" max="5" width="26" customWidth="1"/>
    <col min="6" max="6" width="13" customWidth="1"/>
    <col min="7" max="26" width="8.7109375" customWidth="1"/>
  </cols>
  <sheetData>
    <row r="1" spans="1:6" ht="31.5" customHeight="1">
      <c r="A1" s="1"/>
      <c r="B1" s="239" t="s">
        <v>1304</v>
      </c>
      <c r="C1" s="228"/>
      <c r="D1" s="228"/>
      <c r="E1" s="228"/>
      <c r="F1" s="229"/>
    </row>
    <row r="3" spans="1:6">
      <c r="B3" s="243" t="s">
        <v>1305</v>
      </c>
      <c r="C3" s="232"/>
      <c r="E3" s="244" t="s">
        <v>1306</v>
      </c>
      <c r="F3" s="232"/>
    </row>
    <row r="4" spans="1:6" ht="19.5" customHeight="1">
      <c r="B4" s="209" t="s">
        <v>1307</v>
      </c>
      <c r="C4" s="210">
        <v>10000</v>
      </c>
      <c r="E4" s="211" t="s">
        <v>1308</v>
      </c>
      <c r="F4" s="212">
        <f>'Funnel &amp; Quoten'!D16</f>
        <v>1</v>
      </c>
    </row>
    <row r="5" spans="1:6" ht="19.5" customHeight="1">
      <c r="B5" s="209" t="s">
        <v>1309</v>
      </c>
      <c r="C5" s="210">
        <v>5000</v>
      </c>
      <c r="E5" s="213" t="s">
        <v>1310</v>
      </c>
      <c r="F5" s="23">
        <f>'Funnel &amp; Quoten'!G16</f>
        <v>1</v>
      </c>
    </row>
    <row r="6" spans="1:6" ht="19.5" customHeight="1">
      <c r="B6" s="209" t="s">
        <v>1311</v>
      </c>
      <c r="C6" s="214">
        <v>0.4</v>
      </c>
      <c r="E6" s="211" t="s">
        <v>1312</v>
      </c>
      <c r="F6" s="212">
        <f>'Funnel &amp; Quoten'!J16</f>
        <v>1</v>
      </c>
    </row>
    <row r="7" spans="1:6" ht="19.5" customHeight="1">
      <c r="B7" s="209" t="s">
        <v>1313</v>
      </c>
      <c r="C7" s="214">
        <v>0.5</v>
      </c>
    </row>
    <row r="8" spans="1:6" ht="19.5" customHeight="1">
      <c r="B8" s="209" t="s">
        <v>1314</v>
      </c>
      <c r="C8" s="214">
        <v>0.25</v>
      </c>
      <c r="E8" s="242" t="s">
        <v>1315</v>
      </c>
      <c r="F8" s="232"/>
    </row>
    <row r="9" spans="1:6" ht="19.5" customHeight="1">
      <c r="B9" s="209" t="s">
        <v>1316</v>
      </c>
      <c r="C9" s="215">
        <v>8</v>
      </c>
      <c r="E9" s="232"/>
      <c r="F9" s="232"/>
    </row>
    <row r="10" spans="1:6" ht="15" customHeight="1">
      <c r="E10" s="232"/>
      <c r="F10" s="232"/>
    </row>
    <row r="11" spans="1:6">
      <c r="B11" s="243" t="s">
        <v>1317</v>
      </c>
      <c r="C11" s="232"/>
      <c r="E11" s="232"/>
      <c r="F11" s="232"/>
    </row>
    <row r="12" spans="1:6" ht="19.5" customHeight="1">
      <c r="B12" s="20" t="s">
        <v>1318</v>
      </c>
      <c r="C12" s="216">
        <f>CEILING(C4/C5,1)</f>
        <v>2</v>
      </c>
      <c r="E12" s="232"/>
      <c r="F12" s="232"/>
    </row>
    <row r="13" spans="1:6" ht="19.5" customHeight="1">
      <c r="B13" s="217" t="s">
        <v>1319</v>
      </c>
      <c r="C13" s="216">
        <f t="shared" ref="C13:C15" si="0">CEILING(C12/C6,1)</f>
        <v>5</v>
      </c>
    </row>
    <row r="14" spans="1:6" ht="19.5" customHeight="1">
      <c r="B14" s="217" t="s">
        <v>1320</v>
      </c>
      <c r="C14" s="216">
        <f t="shared" si="0"/>
        <v>10</v>
      </c>
    </row>
    <row r="15" spans="1:6" ht="19.5" customHeight="1">
      <c r="B15" s="218" t="s">
        <v>1321</v>
      </c>
      <c r="C15" s="219">
        <f t="shared" si="0"/>
        <v>40</v>
      </c>
    </row>
    <row r="17" spans="2:3" ht="19.5" customHeight="1">
      <c r="B17" s="20" t="s">
        <v>1322</v>
      </c>
      <c r="C17" s="216">
        <f>CEILING(C15/C9,1)</f>
        <v>5</v>
      </c>
    </row>
    <row r="18" spans="2:3" ht="19.5" customHeight="1">
      <c r="B18" s="217" t="s">
        <v>1323</v>
      </c>
      <c r="C18" s="216">
        <f>CEILING(C15/C9/5,1)</f>
        <v>1</v>
      </c>
    </row>
    <row r="20" spans="2:3">
      <c r="B20" s="220" t="s">
        <v>1324</v>
      </c>
    </row>
    <row r="21" spans="2:3" ht="15.75" customHeight="1"/>
    <row r="22" spans="2:3" ht="15.75" customHeight="1"/>
    <row r="23" spans="2:3" ht="15.75" customHeight="1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1"/>
    <mergeCell ref="B3:C3"/>
    <mergeCell ref="E3:F3"/>
    <mergeCell ref="E8:F12"/>
    <mergeCell ref="B11:C11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88888"/>
  </sheetPr>
  <dimension ref="A1:G99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1" width="23.7109375" customWidth="1"/>
    <col min="2" max="2" width="18" customWidth="1"/>
    <col min="3" max="3" width="19.85546875" customWidth="1"/>
    <col min="4" max="4" width="18" customWidth="1"/>
    <col min="5" max="5" width="21.7109375" customWidth="1"/>
    <col min="6" max="6" width="20" customWidth="1"/>
    <col min="7" max="7" width="22.5703125" customWidth="1"/>
  </cols>
  <sheetData>
    <row r="1" spans="1:7" ht="21.75" customHeight="1">
      <c r="A1" s="33" t="s">
        <v>10</v>
      </c>
      <c r="B1" s="33" t="s">
        <v>21</v>
      </c>
      <c r="C1" s="33" t="s">
        <v>22</v>
      </c>
      <c r="D1" s="33" t="s">
        <v>23</v>
      </c>
      <c r="E1" s="33" t="s">
        <v>25</v>
      </c>
      <c r="F1" s="33" t="s">
        <v>1255</v>
      </c>
      <c r="G1" s="33" t="s">
        <v>1264</v>
      </c>
    </row>
    <row r="2" spans="1:7" ht="22.5" customHeight="1">
      <c r="A2" s="35" t="s">
        <v>28</v>
      </c>
      <c r="B2" s="36" t="s">
        <v>36</v>
      </c>
      <c r="C2" s="36" t="s">
        <v>47</v>
      </c>
      <c r="D2" s="36" t="s">
        <v>48</v>
      </c>
      <c r="E2" s="36" t="s">
        <v>39</v>
      </c>
      <c r="F2" s="36" t="s">
        <v>39</v>
      </c>
      <c r="G2" s="40" t="s">
        <v>39</v>
      </c>
    </row>
    <row r="3" spans="1:7" ht="22.5" customHeight="1">
      <c r="A3" s="42" t="s">
        <v>49</v>
      </c>
      <c r="B3" s="39" t="s">
        <v>77</v>
      </c>
      <c r="C3" s="39" t="s">
        <v>37</v>
      </c>
      <c r="D3" s="39" t="s">
        <v>38</v>
      </c>
      <c r="E3" s="39" t="s">
        <v>1325</v>
      </c>
      <c r="F3" s="39" t="s">
        <v>1326</v>
      </c>
      <c r="G3" s="45" t="s">
        <v>1326</v>
      </c>
    </row>
    <row r="4" spans="1:7" ht="22.5" customHeight="1">
      <c r="A4" s="42" t="s">
        <v>242</v>
      </c>
      <c r="B4" s="39" t="s">
        <v>1327</v>
      </c>
      <c r="C4" s="39" t="s">
        <v>94</v>
      </c>
      <c r="D4" s="39" t="s">
        <v>83</v>
      </c>
      <c r="E4" s="39" t="s">
        <v>26</v>
      </c>
      <c r="F4" s="39" t="s">
        <v>1328</v>
      </c>
      <c r="G4" s="45" t="s">
        <v>1329</v>
      </c>
    </row>
    <row r="5" spans="1:7" ht="22.5" customHeight="1">
      <c r="A5" s="42" t="s">
        <v>1330</v>
      </c>
      <c r="B5" s="39" t="s">
        <v>1331</v>
      </c>
      <c r="C5" s="39" t="s">
        <v>279</v>
      </c>
      <c r="D5" s="39"/>
      <c r="E5" s="39" t="s">
        <v>1332</v>
      </c>
      <c r="F5" s="39" t="s">
        <v>264</v>
      </c>
      <c r="G5" s="45" t="s">
        <v>1266</v>
      </c>
    </row>
    <row r="6" spans="1:7" ht="22.5" customHeight="1">
      <c r="A6" s="42" t="s">
        <v>255</v>
      </c>
      <c r="B6" s="39" t="s">
        <v>1333</v>
      </c>
      <c r="C6" s="39" t="s">
        <v>316</v>
      </c>
      <c r="D6" s="39"/>
      <c r="E6" s="39" t="s">
        <v>264</v>
      </c>
      <c r="F6" s="39"/>
      <c r="G6" s="45"/>
    </row>
    <row r="7" spans="1:7" ht="22.5" customHeight="1">
      <c r="A7" s="42" t="s">
        <v>1334</v>
      </c>
      <c r="B7" s="39" t="s">
        <v>1335</v>
      </c>
      <c r="C7" s="39" t="s">
        <v>97</v>
      </c>
      <c r="D7" s="39"/>
      <c r="E7" s="39"/>
      <c r="F7" s="39"/>
      <c r="G7" s="45"/>
    </row>
    <row r="8" spans="1:7" ht="22.5" customHeight="1">
      <c r="A8" s="42" t="s">
        <v>564</v>
      </c>
      <c r="B8" s="39" t="s">
        <v>1336</v>
      </c>
      <c r="C8" s="39"/>
      <c r="D8" s="39"/>
      <c r="E8" s="39"/>
      <c r="F8" s="39"/>
      <c r="G8" s="45"/>
    </row>
    <row r="9" spans="1:7" ht="22.5" customHeight="1">
      <c r="A9" s="42"/>
      <c r="B9" s="39" t="s">
        <v>1337</v>
      </c>
      <c r="C9" s="39"/>
      <c r="D9" s="39"/>
      <c r="E9" s="39"/>
      <c r="F9" s="39"/>
      <c r="G9" s="45"/>
    </row>
    <row r="10" spans="1:7" ht="22.5" customHeight="1">
      <c r="A10" s="42"/>
      <c r="B10" s="39" t="s">
        <v>18</v>
      </c>
      <c r="C10" s="39"/>
      <c r="D10" s="39"/>
      <c r="E10" s="39"/>
      <c r="F10" s="39"/>
      <c r="G10" s="45"/>
    </row>
    <row r="11" spans="1:7" ht="22.5" customHeight="1">
      <c r="A11" s="221"/>
      <c r="B11" s="222" t="s">
        <v>263</v>
      </c>
      <c r="C11" s="222"/>
      <c r="D11" s="222"/>
      <c r="E11" s="222"/>
      <c r="F11" s="222"/>
      <c r="G11" s="223"/>
    </row>
    <row r="12" spans="1:7">
      <c r="A12" s="224"/>
      <c r="B12" s="225"/>
      <c r="C12" s="225"/>
      <c r="D12" s="225"/>
      <c r="E12" s="225"/>
      <c r="F12" s="225"/>
      <c r="G12" s="226"/>
    </row>
    <row r="13" spans="1:7">
      <c r="A13" s="153"/>
      <c r="B13" s="31"/>
      <c r="C13" s="31"/>
      <c r="D13" s="31"/>
      <c r="E13" s="31"/>
      <c r="F13" s="31"/>
      <c r="G13" s="154"/>
    </row>
    <row r="14" spans="1:7" ht="15.75" customHeight="1">
      <c r="A14" s="153"/>
      <c r="B14" s="31"/>
      <c r="C14" s="31"/>
      <c r="D14" s="31"/>
      <c r="E14" s="31"/>
      <c r="F14" s="31"/>
      <c r="G14" s="154"/>
    </row>
    <row r="15" spans="1:7" ht="15.75" customHeight="1">
      <c r="A15" s="153"/>
      <c r="B15" s="31"/>
      <c r="C15" s="31"/>
      <c r="D15" s="31"/>
      <c r="E15" s="31"/>
      <c r="F15" s="31"/>
      <c r="G15" s="154"/>
    </row>
    <row r="16" spans="1:7" ht="15.75" customHeight="1">
      <c r="A16" s="153"/>
      <c r="B16" s="31"/>
      <c r="C16" s="31"/>
      <c r="D16" s="31"/>
      <c r="E16" s="31"/>
      <c r="F16" s="31"/>
      <c r="G16" s="154"/>
    </row>
    <row r="17" spans="1:7" ht="15.75" customHeight="1">
      <c r="A17" s="153"/>
      <c r="B17" s="31"/>
      <c r="C17" s="31"/>
      <c r="D17" s="31"/>
      <c r="E17" s="31"/>
      <c r="F17" s="31"/>
      <c r="G17" s="154"/>
    </row>
    <row r="18" spans="1:7" ht="15.75" customHeight="1">
      <c r="A18" s="153"/>
      <c r="B18" s="31"/>
      <c r="C18" s="31"/>
      <c r="D18" s="31"/>
      <c r="E18" s="31"/>
      <c r="F18" s="31"/>
      <c r="G18" s="154"/>
    </row>
    <row r="19" spans="1:7" ht="15.75" customHeight="1">
      <c r="A19" s="153"/>
      <c r="B19" s="31"/>
      <c r="C19" s="31"/>
      <c r="D19" s="31"/>
      <c r="E19" s="31"/>
      <c r="F19" s="31"/>
      <c r="G19" s="154"/>
    </row>
    <row r="20" spans="1:7" ht="15.75" customHeight="1">
      <c r="A20" s="153"/>
      <c r="B20" s="31"/>
      <c r="C20" s="31"/>
      <c r="D20" s="31"/>
      <c r="E20" s="31"/>
      <c r="F20" s="31"/>
      <c r="G20" s="154"/>
    </row>
    <row r="21" spans="1:7" ht="15.75" customHeight="1">
      <c r="A21" s="153"/>
      <c r="B21" s="31"/>
      <c r="C21" s="31"/>
      <c r="D21" s="31"/>
      <c r="E21" s="31"/>
      <c r="F21" s="31"/>
      <c r="G21" s="154"/>
    </row>
    <row r="22" spans="1:7" ht="15.75" customHeight="1">
      <c r="A22" s="153"/>
      <c r="B22" s="31"/>
      <c r="C22" s="31"/>
      <c r="D22" s="31"/>
      <c r="E22" s="31"/>
      <c r="F22" s="31"/>
      <c r="G22" s="154"/>
    </row>
    <row r="23" spans="1:7" ht="15.75" customHeight="1">
      <c r="A23" s="153"/>
      <c r="B23" s="31"/>
      <c r="C23" s="31"/>
      <c r="D23" s="31"/>
      <c r="E23" s="31"/>
      <c r="F23" s="31"/>
      <c r="G23" s="154"/>
    </row>
    <row r="24" spans="1:7" ht="15.75" customHeight="1">
      <c r="A24" s="153"/>
      <c r="B24" s="31"/>
      <c r="C24" s="31"/>
      <c r="D24" s="31"/>
      <c r="E24" s="31"/>
      <c r="F24" s="31"/>
      <c r="G24" s="154"/>
    </row>
    <row r="25" spans="1:7" ht="15.75" customHeight="1">
      <c r="A25" s="153"/>
      <c r="B25" s="31"/>
      <c r="C25" s="31"/>
      <c r="D25" s="31"/>
      <c r="E25" s="31"/>
      <c r="F25" s="31"/>
      <c r="G25" s="154"/>
    </row>
    <row r="26" spans="1:7" ht="15.75" customHeight="1">
      <c r="A26" s="153"/>
      <c r="B26" s="31"/>
      <c r="C26" s="31"/>
      <c r="D26" s="31"/>
      <c r="E26" s="31"/>
      <c r="F26" s="31"/>
      <c r="G26" s="154"/>
    </row>
    <row r="27" spans="1:7" ht="15.75" customHeight="1">
      <c r="A27" s="153"/>
      <c r="B27" s="31"/>
      <c r="C27" s="31"/>
      <c r="D27" s="31"/>
      <c r="E27" s="31"/>
      <c r="F27" s="31"/>
      <c r="G27" s="154"/>
    </row>
    <row r="28" spans="1:7" ht="15.75" customHeight="1">
      <c r="A28" s="153"/>
      <c r="B28" s="31"/>
      <c r="C28" s="31"/>
      <c r="D28" s="31"/>
      <c r="E28" s="31"/>
      <c r="F28" s="31"/>
      <c r="G28" s="154"/>
    </row>
    <row r="29" spans="1:7" ht="15.75" customHeight="1">
      <c r="A29" s="153"/>
      <c r="B29" s="31"/>
      <c r="C29" s="31"/>
      <c r="D29" s="31"/>
      <c r="E29" s="31"/>
      <c r="F29" s="31"/>
      <c r="G29" s="154"/>
    </row>
    <row r="30" spans="1:7" ht="15.75" customHeight="1">
      <c r="A30" s="153"/>
      <c r="B30" s="31"/>
      <c r="C30" s="31"/>
      <c r="D30" s="31"/>
      <c r="E30" s="31"/>
      <c r="F30" s="31"/>
      <c r="G30" s="154"/>
    </row>
    <row r="31" spans="1:7" ht="15.75" customHeight="1">
      <c r="A31" s="153"/>
      <c r="B31" s="31"/>
      <c r="C31" s="31"/>
      <c r="D31" s="31"/>
      <c r="E31" s="31"/>
      <c r="F31" s="31"/>
      <c r="G31" s="154"/>
    </row>
    <row r="32" spans="1:7" ht="15.75" customHeight="1">
      <c r="A32" s="153"/>
      <c r="B32" s="31"/>
      <c r="C32" s="31"/>
      <c r="D32" s="31"/>
      <c r="E32" s="31"/>
      <c r="F32" s="31"/>
      <c r="G32" s="154"/>
    </row>
    <row r="33" spans="1:7" ht="15.75" customHeight="1">
      <c r="A33" s="153"/>
      <c r="B33" s="31"/>
      <c r="C33" s="31"/>
      <c r="D33" s="31"/>
      <c r="E33" s="31"/>
      <c r="F33" s="31"/>
      <c r="G33" s="154"/>
    </row>
    <row r="34" spans="1:7" ht="15.75" customHeight="1">
      <c r="A34" s="153"/>
      <c r="B34" s="31"/>
      <c r="C34" s="31"/>
      <c r="D34" s="31"/>
      <c r="E34" s="31"/>
      <c r="F34" s="31"/>
      <c r="G34" s="154"/>
    </row>
    <row r="35" spans="1:7" ht="15.75" customHeight="1">
      <c r="A35" s="153"/>
      <c r="B35" s="31"/>
      <c r="C35" s="31"/>
      <c r="D35" s="31"/>
      <c r="E35" s="31"/>
      <c r="F35" s="31"/>
      <c r="G35" s="154"/>
    </row>
    <row r="36" spans="1:7" ht="15.75" customHeight="1">
      <c r="A36" s="153"/>
      <c r="B36" s="31"/>
      <c r="C36" s="31"/>
      <c r="D36" s="31"/>
      <c r="E36" s="31"/>
      <c r="F36" s="31"/>
      <c r="G36" s="154"/>
    </row>
    <row r="37" spans="1:7" ht="15.75" customHeight="1">
      <c r="A37" s="153"/>
      <c r="B37" s="31"/>
      <c r="C37" s="31"/>
      <c r="D37" s="31"/>
      <c r="E37" s="31"/>
      <c r="F37" s="31"/>
      <c r="G37" s="154"/>
    </row>
    <row r="38" spans="1:7" ht="15.75" customHeight="1">
      <c r="A38" s="153"/>
      <c r="B38" s="31"/>
      <c r="C38" s="31"/>
      <c r="D38" s="31"/>
      <c r="E38" s="31"/>
      <c r="F38" s="31"/>
      <c r="G38" s="154"/>
    </row>
    <row r="39" spans="1:7" ht="15.75" customHeight="1">
      <c r="A39" s="153"/>
      <c r="B39" s="31"/>
      <c r="C39" s="31"/>
      <c r="D39" s="31"/>
      <c r="E39" s="31"/>
      <c r="F39" s="31"/>
      <c r="G39" s="154"/>
    </row>
    <row r="40" spans="1:7" ht="15.75" customHeight="1">
      <c r="A40" s="153"/>
      <c r="B40" s="31"/>
      <c r="C40" s="31"/>
      <c r="D40" s="31"/>
      <c r="E40" s="31"/>
      <c r="F40" s="31"/>
      <c r="G40" s="154"/>
    </row>
    <row r="41" spans="1:7" ht="15.75" customHeight="1">
      <c r="A41" s="153"/>
      <c r="B41" s="31"/>
      <c r="C41" s="31"/>
      <c r="D41" s="31"/>
      <c r="E41" s="31"/>
      <c r="F41" s="31"/>
      <c r="G41" s="154"/>
    </row>
    <row r="42" spans="1:7" ht="15.75" customHeight="1">
      <c r="A42" s="153"/>
      <c r="B42" s="31"/>
      <c r="C42" s="31"/>
      <c r="D42" s="31"/>
      <c r="E42" s="31"/>
      <c r="F42" s="31"/>
      <c r="G42" s="154"/>
    </row>
    <row r="43" spans="1:7" ht="15.75" customHeight="1">
      <c r="A43" s="153"/>
      <c r="B43" s="31"/>
      <c r="C43" s="31"/>
      <c r="D43" s="31"/>
      <c r="E43" s="31"/>
      <c r="F43" s="31"/>
      <c r="G43" s="154"/>
    </row>
    <row r="44" spans="1:7" ht="15.75" customHeight="1">
      <c r="A44" s="153"/>
      <c r="B44" s="31"/>
      <c r="C44" s="31"/>
      <c r="D44" s="31"/>
      <c r="E44" s="31"/>
      <c r="F44" s="31"/>
      <c r="G44" s="154"/>
    </row>
    <row r="45" spans="1:7" ht="15.75" customHeight="1">
      <c r="A45" s="153"/>
      <c r="B45" s="31"/>
      <c r="C45" s="31"/>
      <c r="D45" s="31"/>
      <c r="E45" s="31"/>
      <c r="F45" s="31"/>
      <c r="G45" s="154"/>
    </row>
    <row r="46" spans="1:7" ht="15.75" customHeight="1">
      <c r="A46" s="153"/>
      <c r="B46" s="31"/>
      <c r="C46" s="31"/>
      <c r="D46" s="31"/>
      <c r="E46" s="31"/>
      <c r="F46" s="31"/>
      <c r="G46" s="154"/>
    </row>
    <row r="47" spans="1:7" ht="15.75" customHeight="1">
      <c r="A47" s="153"/>
      <c r="B47" s="31"/>
      <c r="C47" s="31"/>
      <c r="D47" s="31"/>
      <c r="E47" s="31"/>
      <c r="F47" s="31"/>
      <c r="G47" s="154"/>
    </row>
    <row r="48" spans="1:7" ht="15.75" customHeight="1">
      <c r="A48" s="153"/>
      <c r="B48" s="31"/>
      <c r="C48" s="31"/>
      <c r="D48" s="31"/>
      <c r="E48" s="31"/>
      <c r="F48" s="31"/>
      <c r="G48" s="154"/>
    </row>
    <row r="49" spans="1:7" ht="15.75" customHeight="1">
      <c r="A49" s="153"/>
      <c r="B49" s="31"/>
      <c r="C49" s="31"/>
      <c r="D49" s="31"/>
      <c r="E49" s="31"/>
      <c r="F49" s="31"/>
      <c r="G49" s="154"/>
    </row>
    <row r="50" spans="1:7" ht="15.75" customHeight="1">
      <c r="A50" s="153"/>
      <c r="B50" s="31"/>
      <c r="C50" s="31"/>
      <c r="D50" s="31"/>
      <c r="E50" s="31"/>
      <c r="F50" s="31"/>
      <c r="G50" s="154"/>
    </row>
    <row r="51" spans="1:7" ht="15.75" customHeight="1">
      <c r="A51" s="153"/>
      <c r="B51" s="31"/>
      <c r="C51" s="31"/>
      <c r="D51" s="31"/>
      <c r="E51" s="31"/>
      <c r="F51" s="31"/>
      <c r="G51" s="154"/>
    </row>
    <row r="52" spans="1:7" ht="15.75" customHeight="1">
      <c r="A52" s="153"/>
      <c r="B52" s="31"/>
      <c r="C52" s="31"/>
      <c r="D52" s="31"/>
      <c r="E52" s="31"/>
      <c r="F52" s="31"/>
      <c r="G52" s="154"/>
    </row>
    <row r="53" spans="1:7" ht="15.75" customHeight="1">
      <c r="A53" s="153"/>
      <c r="B53" s="31"/>
      <c r="C53" s="31"/>
      <c r="D53" s="31"/>
      <c r="E53" s="31"/>
      <c r="F53" s="31"/>
      <c r="G53" s="154"/>
    </row>
    <row r="54" spans="1:7" ht="15.75" customHeight="1">
      <c r="A54" s="153"/>
      <c r="B54" s="31"/>
      <c r="C54" s="31"/>
      <c r="D54" s="31"/>
      <c r="E54" s="31"/>
      <c r="F54" s="31"/>
      <c r="G54" s="154"/>
    </row>
    <row r="55" spans="1:7" ht="15.75" customHeight="1">
      <c r="A55" s="153"/>
      <c r="B55" s="31"/>
      <c r="C55" s="31"/>
      <c r="D55" s="31"/>
      <c r="E55" s="31"/>
      <c r="F55" s="31"/>
      <c r="G55" s="154"/>
    </row>
    <row r="56" spans="1:7" ht="15.75" customHeight="1">
      <c r="A56" s="153"/>
      <c r="B56" s="31"/>
      <c r="C56" s="31"/>
      <c r="D56" s="31"/>
      <c r="E56" s="31"/>
      <c r="F56" s="31"/>
      <c r="G56" s="154"/>
    </row>
    <row r="57" spans="1:7" ht="15.75" customHeight="1">
      <c r="A57" s="153"/>
      <c r="B57" s="31"/>
      <c r="C57" s="31"/>
      <c r="D57" s="31"/>
      <c r="E57" s="31"/>
      <c r="F57" s="31"/>
      <c r="G57" s="154"/>
    </row>
    <row r="58" spans="1:7" ht="15.75" customHeight="1">
      <c r="A58" s="153"/>
      <c r="B58" s="31"/>
      <c r="C58" s="31"/>
      <c r="D58" s="31"/>
      <c r="E58" s="31"/>
      <c r="F58" s="31"/>
      <c r="G58" s="154"/>
    </row>
    <row r="59" spans="1:7" ht="15.75" customHeight="1">
      <c r="A59" s="153"/>
      <c r="B59" s="31"/>
      <c r="C59" s="31"/>
      <c r="D59" s="31"/>
      <c r="E59" s="31"/>
      <c r="F59" s="31"/>
      <c r="G59" s="154"/>
    </row>
    <row r="60" spans="1:7" ht="15.75" customHeight="1">
      <c r="A60" s="153"/>
      <c r="B60" s="31"/>
      <c r="C60" s="31"/>
      <c r="D60" s="31"/>
      <c r="E60" s="31"/>
      <c r="F60" s="31"/>
      <c r="G60" s="154"/>
    </row>
    <row r="61" spans="1:7" ht="15.75" customHeight="1">
      <c r="A61" s="153"/>
      <c r="B61" s="31"/>
      <c r="C61" s="31"/>
      <c r="D61" s="31"/>
      <c r="E61" s="31"/>
      <c r="F61" s="31"/>
      <c r="G61" s="154"/>
    </row>
    <row r="62" spans="1:7" ht="15.75" customHeight="1">
      <c r="A62" s="153"/>
      <c r="B62" s="31"/>
      <c r="C62" s="31"/>
      <c r="D62" s="31"/>
      <c r="E62" s="31"/>
      <c r="F62" s="31"/>
      <c r="G62" s="154"/>
    </row>
    <row r="63" spans="1:7" ht="15.75" customHeight="1">
      <c r="A63" s="153"/>
      <c r="B63" s="31"/>
      <c r="C63" s="31"/>
      <c r="D63" s="31"/>
      <c r="E63" s="31"/>
      <c r="F63" s="31"/>
      <c r="G63" s="154"/>
    </row>
    <row r="64" spans="1:7" ht="15.75" customHeight="1">
      <c r="A64" s="153"/>
      <c r="B64" s="31"/>
      <c r="C64" s="31"/>
      <c r="D64" s="31"/>
      <c r="E64" s="31"/>
      <c r="F64" s="31"/>
      <c r="G64" s="154"/>
    </row>
    <row r="65" spans="1:7" ht="15.75" customHeight="1">
      <c r="A65" s="153"/>
      <c r="B65" s="31"/>
      <c r="C65" s="31"/>
      <c r="D65" s="31"/>
      <c r="E65" s="31"/>
      <c r="F65" s="31"/>
      <c r="G65" s="154"/>
    </row>
    <row r="66" spans="1:7" ht="15.75" customHeight="1">
      <c r="A66" s="153"/>
      <c r="B66" s="31"/>
      <c r="C66" s="31"/>
      <c r="D66" s="31"/>
      <c r="E66" s="31"/>
      <c r="F66" s="31"/>
      <c r="G66" s="154"/>
    </row>
    <row r="67" spans="1:7" ht="15.75" customHeight="1">
      <c r="A67" s="153"/>
      <c r="B67" s="31"/>
      <c r="C67" s="31"/>
      <c r="D67" s="31"/>
      <c r="E67" s="31"/>
      <c r="F67" s="31"/>
      <c r="G67" s="154"/>
    </row>
    <row r="68" spans="1:7" ht="15.75" customHeight="1">
      <c r="A68" s="153"/>
      <c r="B68" s="31"/>
      <c r="C68" s="31"/>
      <c r="D68" s="31"/>
      <c r="E68" s="31"/>
      <c r="F68" s="31"/>
      <c r="G68" s="154"/>
    </row>
    <row r="69" spans="1:7" ht="15.75" customHeight="1">
      <c r="A69" s="153"/>
      <c r="B69" s="31"/>
      <c r="C69" s="31"/>
      <c r="D69" s="31"/>
      <c r="E69" s="31"/>
      <c r="F69" s="31"/>
      <c r="G69" s="154"/>
    </row>
    <row r="70" spans="1:7" ht="15.75" customHeight="1">
      <c r="A70" s="153"/>
      <c r="B70" s="31"/>
      <c r="C70" s="31"/>
      <c r="D70" s="31"/>
      <c r="E70" s="31"/>
      <c r="F70" s="31"/>
      <c r="G70" s="154"/>
    </row>
    <row r="71" spans="1:7" ht="15.75" customHeight="1">
      <c r="A71" s="153"/>
      <c r="B71" s="31"/>
      <c r="C71" s="31"/>
      <c r="D71" s="31"/>
      <c r="E71" s="31"/>
      <c r="F71" s="31"/>
      <c r="G71" s="154"/>
    </row>
    <row r="72" spans="1:7" ht="15.75" customHeight="1">
      <c r="A72" s="153"/>
      <c r="B72" s="31"/>
      <c r="C72" s="31"/>
      <c r="D72" s="31"/>
      <c r="E72" s="31"/>
      <c r="F72" s="31"/>
      <c r="G72" s="154"/>
    </row>
    <row r="73" spans="1:7" ht="15.75" customHeight="1">
      <c r="A73" s="153"/>
      <c r="B73" s="31"/>
      <c r="C73" s="31"/>
      <c r="D73" s="31"/>
      <c r="E73" s="31"/>
      <c r="F73" s="31"/>
      <c r="G73" s="154"/>
    </row>
    <row r="74" spans="1:7" ht="15.75" customHeight="1">
      <c r="A74" s="153"/>
      <c r="B74" s="31"/>
      <c r="C74" s="31"/>
      <c r="D74" s="31"/>
      <c r="E74" s="31"/>
      <c r="F74" s="31"/>
      <c r="G74" s="154"/>
    </row>
    <row r="75" spans="1:7" ht="15.75" customHeight="1">
      <c r="A75" s="153"/>
      <c r="B75" s="31"/>
      <c r="C75" s="31"/>
      <c r="D75" s="31"/>
      <c r="E75" s="31"/>
      <c r="F75" s="31"/>
      <c r="G75" s="154"/>
    </row>
    <row r="76" spans="1:7" ht="15.75" customHeight="1">
      <c r="A76" s="153"/>
      <c r="B76" s="31"/>
      <c r="C76" s="31"/>
      <c r="D76" s="31"/>
      <c r="E76" s="31"/>
      <c r="F76" s="31"/>
      <c r="G76" s="154"/>
    </row>
    <row r="77" spans="1:7" ht="15.75" customHeight="1">
      <c r="A77" s="153"/>
      <c r="B77" s="31"/>
      <c r="C77" s="31"/>
      <c r="D77" s="31"/>
      <c r="E77" s="31"/>
      <c r="F77" s="31"/>
      <c r="G77" s="154"/>
    </row>
    <row r="78" spans="1:7" ht="15.75" customHeight="1">
      <c r="A78" s="153"/>
      <c r="B78" s="31"/>
      <c r="C78" s="31"/>
      <c r="D78" s="31"/>
      <c r="E78" s="31"/>
      <c r="F78" s="31"/>
      <c r="G78" s="154"/>
    </row>
    <row r="79" spans="1:7" ht="15.75" customHeight="1">
      <c r="A79" s="153"/>
      <c r="B79" s="31"/>
      <c r="C79" s="31"/>
      <c r="D79" s="31"/>
      <c r="E79" s="31"/>
      <c r="F79" s="31"/>
      <c r="G79" s="154"/>
    </row>
    <row r="80" spans="1:7" ht="15.75" customHeight="1">
      <c r="A80" s="153"/>
      <c r="B80" s="31"/>
      <c r="C80" s="31"/>
      <c r="D80" s="31"/>
      <c r="E80" s="31"/>
      <c r="F80" s="31"/>
      <c r="G80" s="154"/>
    </row>
    <row r="81" spans="1:7" ht="15.75" customHeight="1">
      <c r="A81" s="153"/>
      <c r="B81" s="31"/>
      <c r="C81" s="31"/>
      <c r="D81" s="31"/>
      <c r="E81" s="31"/>
      <c r="F81" s="31"/>
      <c r="G81" s="154"/>
    </row>
    <row r="82" spans="1:7" ht="15.75" customHeight="1">
      <c r="A82" s="153"/>
      <c r="B82" s="31"/>
      <c r="C82" s="31"/>
      <c r="D82" s="31"/>
      <c r="E82" s="31"/>
      <c r="F82" s="31"/>
      <c r="G82" s="154"/>
    </row>
    <row r="83" spans="1:7" ht="15.75" customHeight="1">
      <c r="A83" s="153"/>
      <c r="B83" s="31"/>
      <c r="C83" s="31"/>
      <c r="D83" s="31"/>
      <c r="E83" s="31"/>
      <c r="F83" s="31"/>
      <c r="G83" s="154"/>
    </row>
    <row r="84" spans="1:7" ht="15.75" customHeight="1">
      <c r="A84" s="153"/>
      <c r="B84" s="31"/>
      <c r="C84" s="31"/>
      <c r="D84" s="31"/>
      <c r="E84" s="31"/>
      <c r="F84" s="31"/>
      <c r="G84" s="154"/>
    </row>
    <row r="85" spans="1:7" ht="15.75" customHeight="1">
      <c r="A85" s="153"/>
      <c r="B85" s="31"/>
      <c r="C85" s="31"/>
      <c r="D85" s="31"/>
      <c r="E85" s="31"/>
      <c r="F85" s="31"/>
      <c r="G85" s="154"/>
    </row>
    <row r="86" spans="1:7" ht="15.75" customHeight="1">
      <c r="A86" s="153"/>
      <c r="B86" s="31"/>
      <c r="C86" s="31"/>
      <c r="D86" s="31"/>
      <c r="E86" s="31"/>
      <c r="F86" s="31"/>
      <c r="G86" s="154"/>
    </row>
    <row r="87" spans="1:7" ht="15.75" customHeight="1">
      <c r="A87" s="153"/>
      <c r="B87" s="31"/>
      <c r="C87" s="31"/>
      <c r="D87" s="31"/>
      <c r="E87" s="31"/>
      <c r="F87" s="31"/>
      <c r="G87" s="154"/>
    </row>
    <row r="88" spans="1:7" ht="15.75" customHeight="1">
      <c r="A88" s="153"/>
      <c r="B88" s="31"/>
      <c r="C88" s="31"/>
      <c r="D88" s="31"/>
      <c r="E88" s="31"/>
      <c r="F88" s="31"/>
      <c r="G88" s="154"/>
    </row>
    <row r="89" spans="1:7" ht="15.75" customHeight="1">
      <c r="A89" s="153"/>
      <c r="B89" s="31"/>
      <c r="C89" s="31"/>
      <c r="D89" s="31"/>
      <c r="E89" s="31"/>
      <c r="F89" s="31"/>
      <c r="G89" s="154"/>
    </row>
    <row r="90" spans="1:7" ht="15.75" customHeight="1">
      <c r="A90" s="153"/>
      <c r="B90" s="31"/>
      <c r="C90" s="31"/>
      <c r="D90" s="31"/>
      <c r="E90" s="31"/>
      <c r="F90" s="31"/>
      <c r="G90" s="154"/>
    </row>
    <row r="91" spans="1:7" ht="15.75" customHeight="1">
      <c r="A91" s="153"/>
      <c r="B91" s="31"/>
      <c r="C91" s="31"/>
      <c r="D91" s="31"/>
      <c r="E91" s="31"/>
      <c r="F91" s="31"/>
      <c r="G91" s="154"/>
    </row>
    <row r="92" spans="1:7" ht="15.75" customHeight="1">
      <c r="A92" s="153"/>
      <c r="B92" s="31"/>
      <c r="C92" s="31"/>
      <c r="D92" s="31"/>
      <c r="E92" s="31"/>
      <c r="F92" s="31"/>
      <c r="G92" s="154"/>
    </row>
    <row r="93" spans="1:7" ht="15.75" customHeight="1">
      <c r="A93" s="153"/>
      <c r="B93" s="31"/>
      <c r="C93" s="31"/>
      <c r="D93" s="31"/>
      <c r="E93" s="31"/>
      <c r="F93" s="31"/>
      <c r="G93" s="154"/>
    </row>
    <row r="94" spans="1:7" ht="15.75" customHeight="1">
      <c r="A94" s="153"/>
      <c r="B94" s="31"/>
      <c r="C94" s="31"/>
      <c r="D94" s="31"/>
      <c r="E94" s="31"/>
      <c r="F94" s="31"/>
      <c r="G94" s="154"/>
    </row>
    <row r="95" spans="1:7" ht="15.75" customHeight="1">
      <c r="A95" s="153"/>
      <c r="B95" s="31"/>
      <c r="C95" s="31"/>
      <c r="D95" s="31"/>
      <c r="E95" s="31"/>
      <c r="F95" s="31"/>
      <c r="G95" s="154"/>
    </row>
    <row r="96" spans="1:7" ht="15.75" customHeight="1">
      <c r="A96" s="153"/>
      <c r="B96" s="31"/>
      <c r="C96" s="31"/>
      <c r="D96" s="31"/>
      <c r="E96" s="31"/>
      <c r="F96" s="31"/>
      <c r="G96" s="154"/>
    </row>
    <row r="97" spans="1:7" ht="15.75" customHeight="1">
      <c r="A97" s="153"/>
      <c r="B97" s="31"/>
      <c r="C97" s="31"/>
      <c r="D97" s="31"/>
      <c r="E97" s="31"/>
      <c r="F97" s="31"/>
      <c r="G97" s="154"/>
    </row>
    <row r="98" spans="1:7" ht="15.75" customHeight="1">
      <c r="A98" s="153"/>
      <c r="B98" s="31"/>
      <c r="C98" s="31"/>
      <c r="D98" s="31"/>
      <c r="E98" s="31"/>
      <c r="F98" s="31"/>
      <c r="G98" s="154"/>
    </row>
    <row r="99" spans="1:7" ht="15.75" customHeight="1">
      <c r="A99" s="153"/>
      <c r="B99" s="31"/>
      <c r="C99" s="31"/>
      <c r="D99" s="31"/>
      <c r="E99" s="31"/>
      <c r="F99" s="31"/>
      <c r="G99" s="154"/>
    </row>
    <row r="100" spans="1:7" ht="15.75" customHeight="1">
      <c r="A100" s="153"/>
      <c r="B100" s="31"/>
      <c r="C100" s="31"/>
      <c r="D100" s="31"/>
      <c r="E100" s="31"/>
      <c r="F100" s="31"/>
      <c r="G100" s="154"/>
    </row>
    <row r="101" spans="1:7" ht="15.75" customHeight="1">
      <c r="A101" s="153"/>
      <c r="B101" s="31"/>
      <c r="C101" s="31"/>
      <c r="D101" s="31"/>
      <c r="E101" s="31"/>
      <c r="F101" s="31"/>
      <c r="G101" s="154"/>
    </row>
    <row r="102" spans="1:7" ht="15.75" customHeight="1">
      <c r="A102" s="153"/>
      <c r="B102" s="31"/>
      <c r="C102" s="31"/>
      <c r="D102" s="31"/>
      <c r="E102" s="31"/>
      <c r="F102" s="31"/>
      <c r="G102" s="154"/>
    </row>
    <row r="103" spans="1:7" ht="15.75" customHeight="1">
      <c r="A103" s="153"/>
      <c r="B103" s="31"/>
      <c r="C103" s="31"/>
      <c r="D103" s="31"/>
      <c r="E103" s="31"/>
      <c r="F103" s="31"/>
      <c r="G103" s="154"/>
    </row>
    <row r="104" spans="1:7" ht="15.75" customHeight="1">
      <c r="A104" s="153"/>
      <c r="B104" s="31"/>
      <c r="C104" s="31"/>
      <c r="D104" s="31"/>
      <c r="E104" s="31"/>
      <c r="F104" s="31"/>
      <c r="G104" s="154"/>
    </row>
    <row r="105" spans="1:7" ht="15.75" customHeight="1">
      <c r="A105" s="153"/>
      <c r="B105" s="31"/>
      <c r="C105" s="31"/>
      <c r="D105" s="31"/>
      <c r="E105" s="31"/>
      <c r="F105" s="31"/>
      <c r="G105" s="154"/>
    </row>
    <row r="106" spans="1:7" ht="15.75" customHeight="1">
      <c r="A106" s="153"/>
      <c r="B106" s="31"/>
      <c r="C106" s="31"/>
      <c r="D106" s="31"/>
      <c r="E106" s="31"/>
      <c r="F106" s="31"/>
      <c r="G106" s="154"/>
    </row>
    <row r="107" spans="1:7" ht="15.75" customHeight="1">
      <c r="A107" s="153"/>
      <c r="B107" s="31"/>
      <c r="C107" s="31"/>
      <c r="D107" s="31"/>
      <c r="E107" s="31"/>
      <c r="F107" s="31"/>
      <c r="G107" s="154"/>
    </row>
    <row r="108" spans="1:7" ht="15.75" customHeight="1">
      <c r="A108" s="153"/>
      <c r="B108" s="31"/>
      <c r="C108" s="31"/>
      <c r="D108" s="31"/>
      <c r="E108" s="31"/>
      <c r="F108" s="31"/>
      <c r="G108" s="154"/>
    </row>
    <row r="109" spans="1:7" ht="15.75" customHeight="1">
      <c r="A109" s="153"/>
      <c r="B109" s="31"/>
      <c r="C109" s="31"/>
      <c r="D109" s="31"/>
      <c r="E109" s="31"/>
      <c r="F109" s="31"/>
      <c r="G109" s="154"/>
    </row>
    <row r="110" spans="1:7" ht="15.75" customHeight="1">
      <c r="A110" s="153"/>
      <c r="B110" s="31"/>
      <c r="C110" s="31"/>
      <c r="D110" s="31"/>
      <c r="E110" s="31"/>
      <c r="F110" s="31"/>
      <c r="G110" s="154"/>
    </row>
    <row r="111" spans="1:7" ht="15.75" customHeight="1">
      <c r="A111" s="153"/>
      <c r="B111" s="31"/>
      <c r="C111" s="31"/>
      <c r="D111" s="31"/>
      <c r="E111" s="31"/>
      <c r="F111" s="31"/>
      <c r="G111" s="154"/>
    </row>
    <row r="112" spans="1:7" ht="15.75" customHeight="1">
      <c r="A112" s="153"/>
      <c r="B112" s="31"/>
      <c r="C112" s="31"/>
      <c r="D112" s="31"/>
      <c r="E112" s="31"/>
      <c r="F112" s="31"/>
      <c r="G112" s="154"/>
    </row>
    <row r="113" spans="1:7" ht="15.75" customHeight="1">
      <c r="A113" s="153"/>
      <c r="B113" s="31"/>
      <c r="C113" s="31"/>
      <c r="D113" s="31"/>
      <c r="E113" s="31"/>
      <c r="F113" s="31"/>
      <c r="G113" s="154"/>
    </row>
    <row r="114" spans="1:7" ht="15.75" customHeight="1">
      <c r="A114" s="153"/>
      <c r="B114" s="31"/>
      <c r="C114" s="31"/>
      <c r="D114" s="31"/>
      <c r="E114" s="31"/>
      <c r="F114" s="31"/>
      <c r="G114" s="154"/>
    </row>
    <row r="115" spans="1:7" ht="15.75" customHeight="1">
      <c r="A115" s="153"/>
      <c r="B115" s="31"/>
      <c r="C115" s="31"/>
      <c r="D115" s="31"/>
      <c r="E115" s="31"/>
      <c r="F115" s="31"/>
      <c r="G115" s="154"/>
    </row>
    <row r="116" spans="1:7" ht="15.75" customHeight="1">
      <c r="A116" s="153"/>
      <c r="B116" s="31"/>
      <c r="C116" s="31"/>
      <c r="D116" s="31"/>
      <c r="E116" s="31"/>
      <c r="F116" s="31"/>
      <c r="G116" s="154"/>
    </row>
    <row r="117" spans="1:7" ht="15.75" customHeight="1">
      <c r="A117" s="153"/>
      <c r="B117" s="31"/>
      <c r="C117" s="31"/>
      <c r="D117" s="31"/>
      <c r="E117" s="31"/>
      <c r="F117" s="31"/>
      <c r="G117" s="154"/>
    </row>
    <row r="118" spans="1:7" ht="15.75" customHeight="1">
      <c r="A118" s="153"/>
      <c r="B118" s="31"/>
      <c r="C118" s="31"/>
      <c r="D118" s="31"/>
      <c r="E118" s="31"/>
      <c r="F118" s="31"/>
      <c r="G118" s="154"/>
    </row>
    <row r="119" spans="1:7" ht="15.75" customHeight="1">
      <c r="A119" s="153"/>
      <c r="B119" s="31"/>
      <c r="C119" s="31"/>
      <c r="D119" s="31"/>
      <c r="E119" s="31"/>
      <c r="F119" s="31"/>
      <c r="G119" s="154"/>
    </row>
    <row r="120" spans="1:7" ht="15.75" customHeight="1">
      <c r="A120" s="153"/>
      <c r="B120" s="31"/>
      <c r="C120" s="31"/>
      <c r="D120" s="31"/>
      <c r="E120" s="31"/>
      <c r="F120" s="31"/>
      <c r="G120" s="154"/>
    </row>
    <row r="121" spans="1:7" ht="15.75" customHeight="1">
      <c r="A121" s="153"/>
      <c r="B121" s="31"/>
      <c r="C121" s="31"/>
      <c r="D121" s="31"/>
      <c r="E121" s="31"/>
      <c r="F121" s="31"/>
      <c r="G121" s="154"/>
    </row>
    <row r="122" spans="1:7" ht="15.75" customHeight="1">
      <c r="A122" s="153"/>
      <c r="B122" s="31"/>
      <c r="C122" s="31"/>
      <c r="D122" s="31"/>
      <c r="E122" s="31"/>
      <c r="F122" s="31"/>
      <c r="G122" s="154"/>
    </row>
    <row r="123" spans="1:7" ht="15.75" customHeight="1">
      <c r="A123" s="153"/>
      <c r="B123" s="31"/>
      <c r="C123" s="31"/>
      <c r="D123" s="31"/>
      <c r="E123" s="31"/>
      <c r="F123" s="31"/>
      <c r="G123" s="154"/>
    </row>
    <row r="124" spans="1:7" ht="15.75" customHeight="1">
      <c r="A124" s="153"/>
      <c r="B124" s="31"/>
      <c r="C124" s="31"/>
      <c r="D124" s="31"/>
      <c r="E124" s="31"/>
      <c r="F124" s="31"/>
      <c r="G124" s="154"/>
    </row>
    <row r="125" spans="1:7" ht="15.75" customHeight="1">
      <c r="A125" s="153"/>
      <c r="B125" s="31"/>
      <c r="C125" s="31"/>
      <c r="D125" s="31"/>
      <c r="E125" s="31"/>
      <c r="F125" s="31"/>
      <c r="G125" s="154"/>
    </row>
    <row r="126" spans="1:7" ht="15.75" customHeight="1">
      <c r="A126" s="153"/>
      <c r="B126" s="31"/>
      <c r="C126" s="31"/>
      <c r="D126" s="31"/>
      <c r="E126" s="31"/>
      <c r="F126" s="31"/>
      <c r="G126" s="154"/>
    </row>
    <row r="127" spans="1:7" ht="15.75" customHeight="1">
      <c r="A127" s="153"/>
      <c r="B127" s="31"/>
      <c r="C127" s="31"/>
      <c r="D127" s="31"/>
      <c r="E127" s="31"/>
      <c r="F127" s="31"/>
      <c r="G127" s="154"/>
    </row>
    <row r="128" spans="1:7" ht="15.75" customHeight="1">
      <c r="A128" s="153"/>
      <c r="B128" s="31"/>
      <c r="C128" s="31"/>
      <c r="D128" s="31"/>
      <c r="E128" s="31"/>
      <c r="F128" s="31"/>
      <c r="G128" s="154"/>
    </row>
    <row r="129" spans="1:7" ht="15.75" customHeight="1">
      <c r="A129" s="153"/>
      <c r="B129" s="31"/>
      <c r="C129" s="31"/>
      <c r="D129" s="31"/>
      <c r="E129" s="31"/>
      <c r="F129" s="31"/>
      <c r="G129" s="154"/>
    </row>
    <row r="130" spans="1:7" ht="15.75" customHeight="1">
      <c r="A130" s="153"/>
      <c r="B130" s="31"/>
      <c r="C130" s="31"/>
      <c r="D130" s="31"/>
      <c r="E130" s="31"/>
      <c r="F130" s="31"/>
      <c r="G130" s="154"/>
    </row>
    <row r="131" spans="1:7" ht="15.75" customHeight="1">
      <c r="A131" s="153"/>
      <c r="B131" s="31"/>
      <c r="C131" s="31"/>
      <c r="D131" s="31"/>
      <c r="E131" s="31"/>
      <c r="F131" s="31"/>
      <c r="G131" s="154"/>
    </row>
    <row r="132" spans="1:7" ht="15.75" customHeight="1">
      <c r="A132" s="153"/>
      <c r="B132" s="31"/>
      <c r="C132" s="31"/>
      <c r="D132" s="31"/>
      <c r="E132" s="31"/>
      <c r="F132" s="31"/>
      <c r="G132" s="154"/>
    </row>
    <row r="133" spans="1:7" ht="15.75" customHeight="1">
      <c r="A133" s="153"/>
      <c r="B133" s="31"/>
      <c r="C133" s="31"/>
      <c r="D133" s="31"/>
      <c r="E133" s="31"/>
      <c r="F133" s="31"/>
      <c r="G133" s="154"/>
    </row>
    <row r="134" spans="1:7" ht="15.75" customHeight="1">
      <c r="A134" s="153"/>
      <c r="B134" s="31"/>
      <c r="C134" s="31"/>
      <c r="D134" s="31"/>
      <c r="E134" s="31"/>
      <c r="F134" s="31"/>
      <c r="G134" s="154"/>
    </row>
    <row r="135" spans="1:7" ht="15.75" customHeight="1">
      <c r="A135" s="153"/>
      <c r="B135" s="31"/>
      <c r="C135" s="31"/>
      <c r="D135" s="31"/>
      <c r="E135" s="31"/>
      <c r="F135" s="31"/>
      <c r="G135" s="154"/>
    </row>
    <row r="136" spans="1:7" ht="15.75" customHeight="1">
      <c r="A136" s="153"/>
      <c r="B136" s="31"/>
      <c r="C136" s="31"/>
      <c r="D136" s="31"/>
      <c r="E136" s="31"/>
      <c r="F136" s="31"/>
      <c r="G136" s="154"/>
    </row>
    <row r="137" spans="1:7" ht="15.75" customHeight="1">
      <c r="A137" s="153"/>
      <c r="B137" s="31"/>
      <c r="C137" s="31"/>
      <c r="D137" s="31"/>
      <c r="E137" s="31"/>
      <c r="F137" s="31"/>
      <c r="G137" s="154"/>
    </row>
    <row r="138" spans="1:7" ht="15.75" customHeight="1">
      <c r="A138" s="153"/>
      <c r="B138" s="31"/>
      <c r="C138" s="31"/>
      <c r="D138" s="31"/>
      <c r="E138" s="31"/>
      <c r="F138" s="31"/>
      <c r="G138" s="154"/>
    </row>
    <row r="139" spans="1:7" ht="15.75" customHeight="1">
      <c r="A139" s="153"/>
      <c r="B139" s="31"/>
      <c r="C139" s="31"/>
      <c r="D139" s="31"/>
      <c r="E139" s="31"/>
      <c r="F139" s="31"/>
      <c r="G139" s="154"/>
    </row>
    <row r="140" spans="1:7" ht="15.75" customHeight="1">
      <c r="A140" s="153"/>
      <c r="B140" s="31"/>
      <c r="C140" s="31"/>
      <c r="D140" s="31"/>
      <c r="E140" s="31"/>
      <c r="F140" s="31"/>
      <c r="G140" s="154"/>
    </row>
    <row r="141" spans="1:7" ht="15.75" customHeight="1">
      <c r="A141" s="153"/>
      <c r="B141" s="31"/>
      <c r="C141" s="31"/>
      <c r="D141" s="31"/>
      <c r="E141" s="31"/>
      <c r="F141" s="31"/>
      <c r="G141" s="154"/>
    </row>
    <row r="142" spans="1:7" ht="15.75" customHeight="1">
      <c r="A142" s="153"/>
      <c r="B142" s="31"/>
      <c r="C142" s="31"/>
      <c r="D142" s="31"/>
      <c r="E142" s="31"/>
      <c r="F142" s="31"/>
      <c r="G142" s="154"/>
    </row>
    <row r="143" spans="1:7" ht="15.75" customHeight="1">
      <c r="A143" s="153"/>
      <c r="B143" s="31"/>
      <c r="C143" s="31"/>
      <c r="D143" s="31"/>
      <c r="E143" s="31"/>
      <c r="F143" s="31"/>
      <c r="G143" s="154"/>
    </row>
    <row r="144" spans="1:7" ht="15.75" customHeight="1">
      <c r="A144" s="153"/>
      <c r="B144" s="31"/>
      <c r="C144" s="31"/>
      <c r="D144" s="31"/>
      <c r="E144" s="31"/>
      <c r="F144" s="31"/>
      <c r="G144" s="154"/>
    </row>
    <row r="145" spans="1:7" ht="15.75" customHeight="1">
      <c r="A145" s="153"/>
      <c r="B145" s="31"/>
      <c r="C145" s="31"/>
      <c r="D145" s="31"/>
      <c r="E145" s="31"/>
      <c r="F145" s="31"/>
      <c r="G145" s="154"/>
    </row>
    <row r="146" spans="1:7" ht="15.75" customHeight="1">
      <c r="A146" s="153"/>
      <c r="B146" s="31"/>
      <c r="C146" s="31"/>
      <c r="D146" s="31"/>
      <c r="E146" s="31"/>
      <c r="F146" s="31"/>
      <c r="G146" s="154"/>
    </row>
    <row r="147" spans="1:7" ht="15.75" customHeight="1">
      <c r="A147" s="153"/>
      <c r="B147" s="31"/>
      <c r="C147" s="31"/>
      <c r="D147" s="31"/>
      <c r="E147" s="31"/>
      <c r="F147" s="31"/>
      <c r="G147" s="154"/>
    </row>
    <row r="148" spans="1:7" ht="15.75" customHeight="1">
      <c r="A148" s="153"/>
      <c r="B148" s="31"/>
      <c r="C148" s="31"/>
      <c r="D148" s="31"/>
      <c r="E148" s="31"/>
      <c r="F148" s="31"/>
      <c r="G148" s="154"/>
    </row>
    <row r="149" spans="1:7" ht="15.75" customHeight="1">
      <c r="A149" s="153"/>
      <c r="B149" s="31"/>
      <c r="C149" s="31"/>
      <c r="D149" s="31"/>
      <c r="E149" s="31"/>
      <c r="F149" s="31"/>
      <c r="G149" s="154"/>
    </row>
    <row r="150" spans="1:7" ht="15.75" customHeight="1">
      <c r="A150" s="153"/>
      <c r="B150" s="31"/>
      <c r="C150" s="31"/>
      <c r="D150" s="31"/>
      <c r="E150" s="31"/>
      <c r="F150" s="31"/>
      <c r="G150" s="154"/>
    </row>
    <row r="151" spans="1:7" ht="15.75" customHeight="1">
      <c r="A151" s="153"/>
      <c r="B151" s="31"/>
      <c r="C151" s="31"/>
      <c r="D151" s="31"/>
      <c r="E151" s="31"/>
      <c r="F151" s="31"/>
      <c r="G151" s="154"/>
    </row>
    <row r="152" spans="1:7" ht="15.75" customHeight="1">
      <c r="A152" s="153"/>
      <c r="B152" s="31"/>
      <c r="C152" s="31"/>
      <c r="D152" s="31"/>
      <c r="E152" s="31"/>
      <c r="F152" s="31"/>
      <c r="G152" s="154"/>
    </row>
    <row r="153" spans="1:7" ht="15.75" customHeight="1">
      <c r="A153" s="153"/>
      <c r="B153" s="31"/>
      <c r="C153" s="31"/>
      <c r="D153" s="31"/>
      <c r="E153" s="31"/>
      <c r="F153" s="31"/>
      <c r="G153" s="154"/>
    </row>
    <row r="154" spans="1:7" ht="15.75" customHeight="1">
      <c r="A154" s="153"/>
      <c r="B154" s="31"/>
      <c r="C154" s="31"/>
      <c r="D154" s="31"/>
      <c r="E154" s="31"/>
      <c r="F154" s="31"/>
      <c r="G154" s="154"/>
    </row>
    <row r="155" spans="1:7" ht="15.75" customHeight="1">
      <c r="A155" s="153"/>
      <c r="B155" s="31"/>
      <c r="C155" s="31"/>
      <c r="D155" s="31"/>
      <c r="E155" s="31"/>
      <c r="F155" s="31"/>
      <c r="G155" s="154"/>
    </row>
    <row r="156" spans="1:7" ht="15.75" customHeight="1">
      <c r="A156" s="153"/>
      <c r="B156" s="31"/>
      <c r="C156" s="31"/>
      <c r="D156" s="31"/>
      <c r="E156" s="31"/>
      <c r="F156" s="31"/>
      <c r="G156" s="154"/>
    </row>
    <row r="157" spans="1:7" ht="15.75" customHeight="1">
      <c r="A157" s="153"/>
      <c r="B157" s="31"/>
      <c r="C157" s="31"/>
      <c r="D157" s="31"/>
      <c r="E157" s="31"/>
      <c r="F157" s="31"/>
      <c r="G157" s="154"/>
    </row>
    <row r="158" spans="1:7" ht="15.75" customHeight="1">
      <c r="A158" s="153"/>
      <c r="B158" s="31"/>
      <c r="C158" s="31"/>
      <c r="D158" s="31"/>
      <c r="E158" s="31"/>
      <c r="F158" s="31"/>
      <c r="G158" s="154"/>
    </row>
    <row r="159" spans="1:7" ht="15.75" customHeight="1">
      <c r="A159" s="153"/>
      <c r="B159" s="31"/>
      <c r="C159" s="31"/>
      <c r="D159" s="31"/>
      <c r="E159" s="31"/>
      <c r="F159" s="31"/>
      <c r="G159" s="154"/>
    </row>
    <row r="160" spans="1:7" ht="15.75" customHeight="1">
      <c r="A160" s="153"/>
      <c r="B160" s="31"/>
      <c r="C160" s="31"/>
      <c r="D160" s="31"/>
      <c r="E160" s="31"/>
      <c r="F160" s="31"/>
      <c r="G160" s="154"/>
    </row>
    <row r="161" spans="1:7" ht="15.75" customHeight="1">
      <c r="A161" s="153"/>
      <c r="B161" s="31"/>
      <c r="C161" s="31"/>
      <c r="D161" s="31"/>
      <c r="E161" s="31"/>
      <c r="F161" s="31"/>
      <c r="G161" s="154"/>
    </row>
    <row r="162" spans="1:7" ht="15.75" customHeight="1">
      <c r="A162" s="153"/>
      <c r="B162" s="31"/>
      <c r="C162" s="31"/>
      <c r="D162" s="31"/>
      <c r="E162" s="31"/>
      <c r="F162" s="31"/>
      <c r="G162" s="154"/>
    </row>
    <row r="163" spans="1:7" ht="15.75" customHeight="1">
      <c r="A163" s="153"/>
      <c r="B163" s="31"/>
      <c r="C163" s="31"/>
      <c r="D163" s="31"/>
      <c r="E163" s="31"/>
      <c r="F163" s="31"/>
      <c r="G163" s="154"/>
    </row>
    <row r="164" spans="1:7" ht="15.75" customHeight="1">
      <c r="A164" s="153"/>
      <c r="B164" s="31"/>
      <c r="C164" s="31"/>
      <c r="D164" s="31"/>
      <c r="E164" s="31"/>
      <c r="F164" s="31"/>
      <c r="G164" s="154"/>
    </row>
    <row r="165" spans="1:7" ht="15.75" customHeight="1">
      <c r="A165" s="153"/>
      <c r="B165" s="31"/>
      <c r="C165" s="31"/>
      <c r="D165" s="31"/>
      <c r="E165" s="31"/>
      <c r="F165" s="31"/>
      <c r="G165" s="154"/>
    </row>
    <row r="166" spans="1:7" ht="15.75" customHeight="1">
      <c r="A166" s="153"/>
      <c r="B166" s="31"/>
      <c r="C166" s="31"/>
      <c r="D166" s="31"/>
      <c r="E166" s="31"/>
      <c r="F166" s="31"/>
      <c r="G166" s="154"/>
    </row>
    <row r="167" spans="1:7" ht="15.75" customHeight="1">
      <c r="A167" s="153"/>
      <c r="B167" s="31"/>
      <c r="C167" s="31"/>
      <c r="D167" s="31"/>
      <c r="E167" s="31"/>
      <c r="F167" s="31"/>
      <c r="G167" s="154"/>
    </row>
    <row r="168" spans="1:7" ht="15.75" customHeight="1">
      <c r="A168" s="153"/>
      <c r="B168" s="31"/>
      <c r="C168" s="31"/>
      <c r="D168" s="31"/>
      <c r="E168" s="31"/>
      <c r="F168" s="31"/>
      <c r="G168" s="154"/>
    </row>
    <row r="169" spans="1:7" ht="15.75" customHeight="1">
      <c r="A169" s="153"/>
      <c r="B169" s="31"/>
      <c r="C169" s="31"/>
      <c r="D169" s="31"/>
      <c r="E169" s="31"/>
      <c r="F169" s="31"/>
      <c r="G169" s="154"/>
    </row>
    <row r="170" spans="1:7" ht="15.75" customHeight="1">
      <c r="A170" s="153"/>
      <c r="B170" s="31"/>
      <c r="C170" s="31"/>
      <c r="D170" s="31"/>
      <c r="E170" s="31"/>
      <c r="F170" s="31"/>
      <c r="G170" s="154"/>
    </row>
    <row r="171" spans="1:7" ht="15.75" customHeight="1">
      <c r="A171" s="153"/>
      <c r="B171" s="31"/>
      <c r="C171" s="31"/>
      <c r="D171" s="31"/>
      <c r="E171" s="31"/>
      <c r="F171" s="31"/>
      <c r="G171" s="154"/>
    </row>
    <row r="172" spans="1:7" ht="15.75" customHeight="1">
      <c r="A172" s="153"/>
      <c r="B172" s="31"/>
      <c r="C172" s="31"/>
      <c r="D172" s="31"/>
      <c r="E172" s="31"/>
      <c r="F172" s="31"/>
      <c r="G172" s="154"/>
    </row>
    <row r="173" spans="1:7" ht="15.75" customHeight="1">
      <c r="A173" s="153"/>
      <c r="B173" s="31"/>
      <c r="C173" s="31"/>
      <c r="D173" s="31"/>
      <c r="E173" s="31"/>
      <c r="F173" s="31"/>
      <c r="G173" s="154"/>
    </row>
    <row r="174" spans="1:7" ht="15.75" customHeight="1">
      <c r="A174" s="153"/>
      <c r="B174" s="31"/>
      <c r="C174" s="31"/>
      <c r="D174" s="31"/>
      <c r="E174" s="31"/>
      <c r="F174" s="31"/>
      <c r="G174" s="154"/>
    </row>
    <row r="175" spans="1:7" ht="15.75" customHeight="1">
      <c r="A175" s="153"/>
      <c r="B175" s="31"/>
      <c r="C175" s="31"/>
      <c r="D175" s="31"/>
      <c r="E175" s="31"/>
      <c r="F175" s="31"/>
      <c r="G175" s="154"/>
    </row>
    <row r="176" spans="1:7" ht="15.75" customHeight="1">
      <c r="A176" s="153"/>
      <c r="B176" s="31"/>
      <c r="C176" s="31"/>
      <c r="D176" s="31"/>
      <c r="E176" s="31"/>
      <c r="F176" s="31"/>
      <c r="G176" s="154"/>
    </row>
    <row r="177" spans="1:7" ht="15.75" customHeight="1">
      <c r="A177" s="153"/>
      <c r="B177" s="31"/>
      <c r="C177" s="31"/>
      <c r="D177" s="31"/>
      <c r="E177" s="31"/>
      <c r="F177" s="31"/>
      <c r="G177" s="154"/>
    </row>
    <row r="178" spans="1:7" ht="15.75" customHeight="1">
      <c r="A178" s="153"/>
      <c r="B178" s="31"/>
      <c r="C178" s="31"/>
      <c r="D178" s="31"/>
      <c r="E178" s="31"/>
      <c r="F178" s="31"/>
      <c r="G178" s="154"/>
    </row>
    <row r="179" spans="1:7" ht="15.75" customHeight="1">
      <c r="A179" s="153"/>
      <c r="B179" s="31"/>
      <c r="C179" s="31"/>
      <c r="D179" s="31"/>
      <c r="E179" s="31"/>
      <c r="F179" s="31"/>
      <c r="G179" s="154"/>
    </row>
    <row r="180" spans="1:7" ht="15.75" customHeight="1">
      <c r="A180" s="153"/>
      <c r="B180" s="31"/>
      <c r="C180" s="31"/>
      <c r="D180" s="31"/>
      <c r="E180" s="31"/>
      <c r="F180" s="31"/>
      <c r="G180" s="154"/>
    </row>
    <row r="181" spans="1:7" ht="15.75" customHeight="1">
      <c r="A181" s="153"/>
      <c r="B181" s="31"/>
      <c r="C181" s="31"/>
      <c r="D181" s="31"/>
      <c r="E181" s="31"/>
      <c r="F181" s="31"/>
      <c r="G181" s="154"/>
    </row>
    <row r="182" spans="1:7" ht="15.75" customHeight="1">
      <c r="A182" s="153"/>
      <c r="B182" s="31"/>
      <c r="C182" s="31"/>
      <c r="D182" s="31"/>
      <c r="E182" s="31"/>
      <c r="F182" s="31"/>
      <c r="G182" s="154"/>
    </row>
    <row r="183" spans="1:7" ht="15.75" customHeight="1">
      <c r="A183" s="153"/>
      <c r="B183" s="31"/>
      <c r="C183" s="31"/>
      <c r="D183" s="31"/>
      <c r="E183" s="31"/>
      <c r="F183" s="31"/>
      <c r="G183" s="154"/>
    </row>
    <row r="184" spans="1:7" ht="15.75" customHeight="1">
      <c r="A184" s="153"/>
      <c r="B184" s="31"/>
      <c r="C184" s="31"/>
      <c r="D184" s="31"/>
      <c r="E184" s="31"/>
      <c r="F184" s="31"/>
      <c r="G184" s="154"/>
    </row>
    <row r="185" spans="1:7" ht="15.75" customHeight="1">
      <c r="A185" s="153"/>
      <c r="B185" s="31"/>
      <c r="C185" s="31"/>
      <c r="D185" s="31"/>
      <c r="E185" s="31"/>
      <c r="F185" s="31"/>
      <c r="G185" s="154"/>
    </row>
    <row r="186" spans="1:7" ht="15.75" customHeight="1">
      <c r="A186" s="153"/>
      <c r="B186" s="31"/>
      <c r="C186" s="31"/>
      <c r="D186" s="31"/>
      <c r="E186" s="31"/>
      <c r="F186" s="31"/>
      <c r="G186" s="154"/>
    </row>
    <row r="187" spans="1:7" ht="15.75" customHeight="1">
      <c r="A187" s="153"/>
      <c r="B187" s="31"/>
      <c r="C187" s="31"/>
      <c r="D187" s="31"/>
      <c r="E187" s="31"/>
      <c r="F187" s="31"/>
      <c r="G187" s="154"/>
    </row>
    <row r="188" spans="1:7" ht="15.75" customHeight="1">
      <c r="A188" s="153"/>
      <c r="B188" s="31"/>
      <c r="C188" s="31"/>
      <c r="D188" s="31"/>
      <c r="E188" s="31"/>
      <c r="F188" s="31"/>
      <c r="G188" s="154"/>
    </row>
    <row r="189" spans="1:7" ht="15.75" customHeight="1">
      <c r="A189" s="153"/>
      <c r="B189" s="31"/>
      <c r="C189" s="31"/>
      <c r="D189" s="31"/>
      <c r="E189" s="31"/>
      <c r="F189" s="31"/>
      <c r="G189" s="154"/>
    </row>
    <row r="190" spans="1:7" ht="15.75" customHeight="1">
      <c r="A190" s="153"/>
      <c r="B190" s="31"/>
      <c r="C190" s="31"/>
      <c r="D190" s="31"/>
      <c r="E190" s="31"/>
      <c r="F190" s="31"/>
      <c r="G190" s="154"/>
    </row>
    <row r="191" spans="1:7" ht="15.75" customHeight="1">
      <c r="A191" s="153"/>
      <c r="B191" s="31"/>
      <c r="C191" s="31"/>
      <c r="D191" s="31"/>
      <c r="E191" s="31"/>
      <c r="F191" s="31"/>
      <c r="G191" s="154"/>
    </row>
    <row r="192" spans="1:7" ht="15.75" customHeight="1">
      <c r="A192" s="153"/>
      <c r="B192" s="31"/>
      <c r="C192" s="31"/>
      <c r="D192" s="31"/>
      <c r="E192" s="31"/>
      <c r="F192" s="31"/>
      <c r="G192" s="154"/>
    </row>
    <row r="193" spans="1:7" ht="15.75" customHeight="1">
      <c r="A193" s="153"/>
      <c r="B193" s="31"/>
      <c r="C193" s="31"/>
      <c r="D193" s="31"/>
      <c r="E193" s="31"/>
      <c r="F193" s="31"/>
      <c r="G193" s="154"/>
    </row>
    <row r="194" spans="1:7" ht="15.75" customHeight="1">
      <c r="A194" s="153"/>
      <c r="B194" s="31"/>
      <c r="C194" s="31"/>
      <c r="D194" s="31"/>
      <c r="E194" s="31"/>
      <c r="F194" s="31"/>
      <c r="G194" s="154"/>
    </row>
    <row r="195" spans="1:7" ht="15.75" customHeight="1">
      <c r="A195" s="153"/>
      <c r="B195" s="31"/>
      <c r="C195" s="31"/>
      <c r="D195" s="31"/>
      <c r="E195" s="31"/>
      <c r="F195" s="31"/>
      <c r="G195" s="154"/>
    </row>
    <row r="196" spans="1:7" ht="15.75" customHeight="1">
      <c r="A196" s="153"/>
      <c r="B196" s="31"/>
      <c r="C196" s="31"/>
      <c r="D196" s="31"/>
      <c r="E196" s="31"/>
      <c r="F196" s="31"/>
      <c r="G196" s="154"/>
    </row>
    <row r="197" spans="1:7" ht="15.75" customHeight="1">
      <c r="A197" s="153"/>
      <c r="B197" s="31"/>
      <c r="C197" s="31"/>
      <c r="D197" s="31"/>
      <c r="E197" s="31"/>
      <c r="F197" s="31"/>
      <c r="G197" s="154"/>
    </row>
    <row r="198" spans="1:7" ht="15.75" customHeight="1">
      <c r="A198" s="153"/>
      <c r="B198" s="31"/>
      <c r="C198" s="31"/>
      <c r="D198" s="31"/>
      <c r="E198" s="31"/>
      <c r="F198" s="31"/>
      <c r="G198" s="154"/>
    </row>
    <row r="199" spans="1:7" ht="15.75" customHeight="1">
      <c r="A199" s="153"/>
      <c r="B199" s="31"/>
      <c r="C199" s="31"/>
      <c r="D199" s="31"/>
      <c r="E199" s="31"/>
      <c r="F199" s="31"/>
      <c r="G199" s="154"/>
    </row>
    <row r="200" spans="1:7" ht="15.75" customHeight="1">
      <c r="A200" s="153"/>
      <c r="B200" s="31"/>
      <c r="C200" s="31"/>
      <c r="D200" s="31"/>
      <c r="E200" s="31"/>
      <c r="F200" s="31"/>
      <c r="G200" s="154"/>
    </row>
    <row r="201" spans="1:7" ht="15.75" customHeight="1">
      <c r="A201" s="153"/>
      <c r="B201" s="31"/>
      <c r="C201" s="31"/>
      <c r="D201" s="31"/>
      <c r="E201" s="31"/>
      <c r="F201" s="31"/>
      <c r="G201" s="154"/>
    </row>
    <row r="202" spans="1:7" ht="15.75" customHeight="1">
      <c r="A202" s="153"/>
      <c r="B202" s="31"/>
      <c r="C202" s="31"/>
      <c r="D202" s="31"/>
      <c r="E202" s="31"/>
      <c r="F202" s="31"/>
      <c r="G202" s="154"/>
    </row>
    <row r="203" spans="1:7" ht="15.75" customHeight="1">
      <c r="A203" s="153"/>
      <c r="B203" s="31"/>
      <c r="C203" s="31"/>
      <c r="D203" s="31"/>
      <c r="E203" s="31"/>
      <c r="F203" s="31"/>
      <c r="G203" s="154"/>
    </row>
    <row r="204" spans="1:7" ht="15.75" customHeight="1">
      <c r="A204" s="153"/>
      <c r="B204" s="31"/>
      <c r="C204" s="31"/>
      <c r="D204" s="31"/>
      <c r="E204" s="31"/>
      <c r="F204" s="31"/>
      <c r="G204" s="154"/>
    </row>
    <row r="205" spans="1:7" ht="15.75" customHeight="1">
      <c r="A205" s="153"/>
      <c r="B205" s="31"/>
      <c r="C205" s="31"/>
      <c r="D205" s="31"/>
      <c r="E205" s="31"/>
      <c r="F205" s="31"/>
      <c r="G205" s="154"/>
    </row>
    <row r="206" spans="1:7" ht="15.75" customHeight="1">
      <c r="A206" s="153"/>
      <c r="B206" s="31"/>
      <c r="C206" s="31"/>
      <c r="D206" s="31"/>
      <c r="E206" s="31"/>
      <c r="F206" s="31"/>
      <c r="G206" s="154"/>
    </row>
    <row r="207" spans="1:7" ht="15.75" customHeight="1">
      <c r="A207" s="153"/>
      <c r="B207" s="31"/>
      <c r="C207" s="31"/>
      <c r="D207" s="31"/>
      <c r="E207" s="31"/>
      <c r="F207" s="31"/>
      <c r="G207" s="154"/>
    </row>
    <row r="208" spans="1:7" ht="15.75" customHeight="1">
      <c r="A208" s="153"/>
      <c r="B208" s="31"/>
      <c r="C208" s="31"/>
      <c r="D208" s="31"/>
      <c r="E208" s="31"/>
      <c r="F208" s="31"/>
      <c r="G208" s="154"/>
    </row>
    <row r="209" spans="1:7" ht="15.75" customHeight="1">
      <c r="A209" s="153"/>
      <c r="B209" s="31"/>
      <c r="C209" s="31"/>
      <c r="D209" s="31"/>
      <c r="E209" s="31"/>
      <c r="F209" s="31"/>
      <c r="G209" s="154"/>
    </row>
    <row r="210" spans="1:7" ht="15.75" customHeight="1">
      <c r="A210" s="153"/>
      <c r="B210" s="31"/>
      <c r="C210" s="31"/>
      <c r="D210" s="31"/>
      <c r="E210" s="31"/>
      <c r="F210" s="31"/>
      <c r="G210" s="154"/>
    </row>
    <row r="211" spans="1:7" ht="15.75" customHeight="1">
      <c r="A211" s="153"/>
      <c r="B211" s="31"/>
      <c r="C211" s="31"/>
      <c r="D211" s="31"/>
      <c r="E211" s="31"/>
      <c r="F211" s="31"/>
      <c r="G211" s="154"/>
    </row>
    <row r="212" spans="1:7" ht="15.75" customHeight="1">
      <c r="A212" s="153"/>
      <c r="B212" s="31"/>
      <c r="C212" s="31"/>
      <c r="D212" s="31"/>
      <c r="E212" s="31"/>
      <c r="F212" s="31"/>
      <c r="G212" s="154"/>
    </row>
    <row r="213" spans="1:7" ht="15.75" customHeight="1">
      <c r="A213" s="153"/>
      <c r="B213" s="31"/>
      <c r="C213" s="31"/>
      <c r="D213" s="31"/>
      <c r="E213" s="31"/>
      <c r="F213" s="31"/>
      <c r="G213" s="154"/>
    </row>
    <row r="214" spans="1:7" ht="15.75" customHeight="1">
      <c r="A214" s="153"/>
      <c r="B214" s="31"/>
      <c r="C214" s="31"/>
      <c r="D214" s="31"/>
      <c r="E214" s="31"/>
      <c r="F214" s="31"/>
      <c r="G214" s="154"/>
    </row>
    <row r="215" spans="1:7" ht="15.75" customHeight="1">
      <c r="A215" s="153"/>
      <c r="B215" s="31"/>
      <c r="C215" s="31"/>
      <c r="D215" s="31"/>
      <c r="E215" s="31"/>
      <c r="F215" s="31"/>
      <c r="G215" s="154"/>
    </row>
    <row r="216" spans="1:7" ht="15.75" customHeight="1">
      <c r="A216" s="153"/>
      <c r="B216" s="31"/>
      <c r="C216" s="31"/>
      <c r="D216" s="31"/>
      <c r="E216" s="31"/>
      <c r="F216" s="31"/>
      <c r="G216" s="154"/>
    </row>
    <row r="217" spans="1:7" ht="15.75" customHeight="1">
      <c r="A217" s="153"/>
      <c r="B217" s="31"/>
      <c r="C217" s="31"/>
      <c r="D217" s="31"/>
      <c r="E217" s="31"/>
      <c r="F217" s="31"/>
      <c r="G217" s="154"/>
    </row>
    <row r="218" spans="1:7" ht="15.75" customHeight="1">
      <c r="A218" s="153"/>
      <c r="B218" s="31"/>
      <c r="C218" s="31"/>
      <c r="D218" s="31"/>
      <c r="E218" s="31"/>
      <c r="F218" s="31"/>
      <c r="G218" s="154"/>
    </row>
    <row r="219" spans="1:7" ht="15.75" customHeight="1">
      <c r="A219" s="153"/>
      <c r="B219" s="31"/>
      <c r="C219" s="31"/>
      <c r="D219" s="31"/>
      <c r="E219" s="31"/>
      <c r="F219" s="31"/>
      <c r="G219" s="154"/>
    </row>
    <row r="220" spans="1:7" ht="15.75" customHeight="1">
      <c r="A220" s="153"/>
      <c r="B220" s="31"/>
      <c r="C220" s="31"/>
      <c r="D220" s="31"/>
      <c r="E220" s="31"/>
      <c r="F220" s="31"/>
      <c r="G220" s="154"/>
    </row>
    <row r="221" spans="1:7" ht="15.75" customHeight="1">
      <c r="A221" s="153"/>
      <c r="B221" s="31"/>
      <c r="C221" s="31"/>
      <c r="D221" s="31"/>
      <c r="E221" s="31"/>
      <c r="F221" s="31"/>
      <c r="G221" s="154"/>
    </row>
    <row r="222" spans="1:7" ht="15.75" customHeight="1">
      <c r="A222" s="153"/>
      <c r="B222" s="31"/>
      <c r="C222" s="31"/>
      <c r="D222" s="31"/>
      <c r="E222" s="31"/>
      <c r="F222" s="31"/>
      <c r="G222" s="154"/>
    </row>
    <row r="223" spans="1:7" ht="15.75" customHeight="1">
      <c r="A223" s="153"/>
      <c r="B223" s="31"/>
      <c r="C223" s="31"/>
      <c r="D223" s="31"/>
      <c r="E223" s="31"/>
      <c r="F223" s="31"/>
      <c r="G223" s="154"/>
    </row>
    <row r="224" spans="1:7" ht="15.75" customHeight="1">
      <c r="A224" s="153"/>
      <c r="B224" s="31"/>
      <c r="C224" s="31"/>
      <c r="D224" s="31"/>
      <c r="E224" s="31"/>
      <c r="F224" s="31"/>
      <c r="G224" s="154"/>
    </row>
    <row r="225" spans="1:7" ht="15.75" customHeight="1">
      <c r="A225" s="153"/>
      <c r="B225" s="31"/>
      <c r="C225" s="31"/>
      <c r="D225" s="31"/>
      <c r="E225" s="31"/>
      <c r="F225" s="31"/>
      <c r="G225" s="154"/>
    </row>
    <row r="226" spans="1:7" ht="15.75" customHeight="1">
      <c r="A226" s="153"/>
      <c r="B226" s="31"/>
      <c r="C226" s="31"/>
      <c r="D226" s="31"/>
      <c r="E226" s="31"/>
      <c r="F226" s="31"/>
      <c r="G226" s="154"/>
    </row>
    <row r="227" spans="1:7" ht="15.75" customHeight="1">
      <c r="A227" s="153"/>
      <c r="B227" s="31"/>
      <c r="C227" s="31"/>
      <c r="D227" s="31"/>
      <c r="E227" s="31"/>
      <c r="F227" s="31"/>
      <c r="G227" s="154"/>
    </row>
    <row r="228" spans="1:7" ht="15.75" customHeight="1">
      <c r="A228" s="153"/>
      <c r="B228" s="31"/>
      <c r="C228" s="31"/>
      <c r="D228" s="31"/>
      <c r="E228" s="31"/>
      <c r="F228" s="31"/>
      <c r="G228" s="154"/>
    </row>
    <row r="229" spans="1:7" ht="15.75" customHeight="1">
      <c r="A229" s="153"/>
      <c r="B229" s="31"/>
      <c r="C229" s="31"/>
      <c r="D229" s="31"/>
      <c r="E229" s="31"/>
      <c r="F229" s="31"/>
      <c r="G229" s="154"/>
    </row>
    <row r="230" spans="1:7" ht="15.75" customHeight="1">
      <c r="A230" s="153"/>
      <c r="B230" s="31"/>
      <c r="C230" s="31"/>
      <c r="D230" s="31"/>
      <c r="E230" s="31"/>
      <c r="F230" s="31"/>
      <c r="G230" s="154"/>
    </row>
    <row r="231" spans="1:7" ht="15.75" customHeight="1">
      <c r="A231" s="153"/>
      <c r="B231" s="31"/>
      <c r="C231" s="31"/>
      <c r="D231" s="31"/>
      <c r="E231" s="31"/>
      <c r="F231" s="31"/>
      <c r="G231" s="154"/>
    </row>
    <row r="232" spans="1:7" ht="15.75" customHeight="1">
      <c r="A232" s="153"/>
      <c r="B232" s="31"/>
      <c r="C232" s="31"/>
      <c r="D232" s="31"/>
      <c r="E232" s="31"/>
      <c r="F232" s="31"/>
      <c r="G232" s="154"/>
    </row>
    <row r="233" spans="1:7" ht="15.75" customHeight="1">
      <c r="A233" s="153"/>
      <c r="B233" s="31"/>
      <c r="C233" s="31"/>
      <c r="D233" s="31"/>
      <c r="E233" s="31"/>
      <c r="F233" s="31"/>
      <c r="G233" s="154"/>
    </row>
    <row r="234" spans="1:7" ht="15.75" customHeight="1">
      <c r="A234" s="153"/>
      <c r="B234" s="31"/>
      <c r="C234" s="31"/>
      <c r="D234" s="31"/>
      <c r="E234" s="31"/>
      <c r="F234" s="31"/>
      <c r="G234" s="154"/>
    </row>
    <row r="235" spans="1:7" ht="15.75" customHeight="1">
      <c r="A235" s="153"/>
      <c r="B235" s="31"/>
      <c r="C235" s="31"/>
      <c r="D235" s="31"/>
      <c r="E235" s="31"/>
      <c r="F235" s="31"/>
      <c r="G235" s="154"/>
    </row>
    <row r="236" spans="1:7" ht="15.75" customHeight="1">
      <c r="A236" s="153"/>
      <c r="B236" s="31"/>
      <c r="C236" s="31"/>
      <c r="D236" s="31"/>
      <c r="E236" s="31"/>
      <c r="F236" s="31"/>
      <c r="G236" s="154"/>
    </row>
    <row r="237" spans="1:7" ht="15.75" customHeight="1">
      <c r="A237" s="153"/>
      <c r="B237" s="31"/>
      <c r="C237" s="31"/>
      <c r="D237" s="31"/>
      <c r="E237" s="31"/>
      <c r="F237" s="31"/>
      <c r="G237" s="154"/>
    </row>
    <row r="238" spans="1:7" ht="15.75" customHeight="1">
      <c r="A238" s="153"/>
      <c r="B238" s="31"/>
      <c r="C238" s="31"/>
      <c r="D238" s="31"/>
      <c r="E238" s="31"/>
      <c r="F238" s="31"/>
      <c r="G238" s="154"/>
    </row>
    <row r="239" spans="1:7" ht="15.75" customHeight="1">
      <c r="A239" s="153"/>
      <c r="B239" s="31"/>
      <c r="C239" s="31"/>
      <c r="D239" s="31"/>
      <c r="E239" s="31"/>
      <c r="F239" s="31"/>
      <c r="G239" s="154"/>
    </row>
    <row r="240" spans="1:7" ht="15.75" customHeight="1">
      <c r="A240" s="153"/>
      <c r="B240" s="31"/>
      <c r="C240" s="31"/>
      <c r="D240" s="31"/>
      <c r="E240" s="31"/>
      <c r="F240" s="31"/>
      <c r="G240" s="154"/>
    </row>
    <row r="241" spans="1:7" ht="15.75" customHeight="1">
      <c r="A241" s="153"/>
      <c r="B241" s="31"/>
      <c r="C241" s="31"/>
      <c r="D241" s="31"/>
      <c r="E241" s="31"/>
      <c r="F241" s="31"/>
      <c r="G241" s="154"/>
    </row>
    <row r="242" spans="1:7" ht="15.75" customHeight="1">
      <c r="A242" s="153"/>
      <c r="B242" s="31"/>
      <c r="C242" s="31"/>
      <c r="D242" s="31"/>
      <c r="E242" s="31"/>
      <c r="F242" s="31"/>
      <c r="G242" s="154"/>
    </row>
    <row r="243" spans="1:7" ht="15.75" customHeight="1">
      <c r="A243" s="153"/>
      <c r="B243" s="31"/>
      <c r="C243" s="31"/>
      <c r="D243" s="31"/>
      <c r="E243" s="31"/>
      <c r="F243" s="31"/>
      <c r="G243" s="154"/>
    </row>
    <row r="244" spans="1:7" ht="15.75" customHeight="1">
      <c r="A244" s="153"/>
      <c r="B244" s="31"/>
      <c r="C244" s="31"/>
      <c r="D244" s="31"/>
      <c r="E244" s="31"/>
      <c r="F244" s="31"/>
      <c r="G244" s="154"/>
    </row>
    <row r="245" spans="1:7" ht="15.75" customHeight="1">
      <c r="A245" s="153"/>
      <c r="B245" s="31"/>
      <c r="C245" s="31"/>
      <c r="D245" s="31"/>
      <c r="E245" s="31"/>
      <c r="F245" s="31"/>
      <c r="G245" s="154"/>
    </row>
    <row r="246" spans="1:7" ht="15.75" customHeight="1">
      <c r="A246" s="153"/>
      <c r="B246" s="31"/>
      <c r="C246" s="31"/>
      <c r="D246" s="31"/>
      <c r="E246" s="31"/>
      <c r="F246" s="31"/>
      <c r="G246" s="154"/>
    </row>
    <row r="247" spans="1:7" ht="15.75" customHeight="1">
      <c r="A247" s="153"/>
      <c r="B247" s="31"/>
      <c r="C247" s="31"/>
      <c r="D247" s="31"/>
      <c r="E247" s="31"/>
      <c r="F247" s="31"/>
      <c r="G247" s="154"/>
    </row>
    <row r="248" spans="1:7" ht="15.75" customHeight="1">
      <c r="A248" s="153"/>
      <c r="B248" s="31"/>
      <c r="C248" s="31"/>
      <c r="D248" s="31"/>
      <c r="E248" s="31"/>
      <c r="F248" s="31"/>
      <c r="G248" s="154"/>
    </row>
    <row r="249" spans="1:7" ht="15.75" customHeight="1">
      <c r="A249" s="153"/>
      <c r="B249" s="31"/>
      <c r="C249" s="31"/>
      <c r="D249" s="31"/>
      <c r="E249" s="31"/>
      <c r="F249" s="31"/>
      <c r="G249" s="154"/>
    </row>
    <row r="250" spans="1:7" ht="15.75" customHeight="1">
      <c r="A250" s="153"/>
      <c r="B250" s="31"/>
      <c r="C250" s="31"/>
      <c r="D250" s="31"/>
      <c r="E250" s="31"/>
      <c r="F250" s="31"/>
      <c r="G250" s="154"/>
    </row>
    <row r="251" spans="1:7" ht="15.75" customHeight="1">
      <c r="A251" s="153"/>
      <c r="B251" s="31"/>
      <c r="C251" s="31"/>
      <c r="D251" s="31"/>
      <c r="E251" s="31"/>
      <c r="F251" s="31"/>
      <c r="G251" s="154"/>
    </row>
    <row r="252" spans="1:7" ht="15.75" customHeight="1">
      <c r="A252" s="153"/>
      <c r="B252" s="31"/>
      <c r="C252" s="31"/>
      <c r="D252" s="31"/>
      <c r="E252" s="31"/>
      <c r="F252" s="31"/>
      <c r="G252" s="154"/>
    </row>
    <row r="253" spans="1:7" ht="15.75" customHeight="1">
      <c r="A253" s="153"/>
      <c r="B253" s="31"/>
      <c r="C253" s="31"/>
      <c r="D253" s="31"/>
      <c r="E253" s="31"/>
      <c r="F253" s="31"/>
      <c r="G253" s="154"/>
    </row>
    <row r="254" spans="1:7" ht="15.75" customHeight="1">
      <c r="A254" s="153"/>
      <c r="B254" s="31"/>
      <c r="C254" s="31"/>
      <c r="D254" s="31"/>
      <c r="E254" s="31"/>
      <c r="F254" s="31"/>
      <c r="G254" s="154"/>
    </row>
    <row r="255" spans="1:7" ht="15.75" customHeight="1">
      <c r="A255" s="153"/>
      <c r="B255" s="31"/>
      <c r="C255" s="31"/>
      <c r="D255" s="31"/>
      <c r="E255" s="31"/>
      <c r="F255" s="31"/>
      <c r="G255" s="154"/>
    </row>
    <row r="256" spans="1:7" ht="15.75" customHeight="1">
      <c r="A256" s="153"/>
      <c r="B256" s="31"/>
      <c r="C256" s="31"/>
      <c r="D256" s="31"/>
      <c r="E256" s="31"/>
      <c r="F256" s="31"/>
      <c r="G256" s="154"/>
    </row>
    <row r="257" spans="1:7" ht="15.75" customHeight="1">
      <c r="A257" s="153"/>
      <c r="B257" s="31"/>
      <c r="C257" s="31"/>
      <c r="D257" s="31"/>
      <c r="E257" s="31"/>
      <c r="F257" s="31"/>
      <c r="G257" s="154"/>
    </row>
    <row r="258" spans="1:7" ht="15.75" customHeight="1">
      <c r="A258" s="153"/>
      <c r="B258" s="31"/>
      <c r="C258" s="31"/>
      <c r="D258" s="31"/>
      <c r="E258" s="31"/>
      <c r="F258" s="31"/>
      <c r="G258" s="154"/>
    </row>
    <row r="259" spans="1:7" ht="15.75" customHeight="1">
      <c r="A259" s="153"/>
      <c r="B259" s="31"/>
      <c r="C259" s="31"/>
      <c r="D259" s="31"/>
      <c r="E259" s="31"/>
      <c r="F259" s="31"/>
      <c r="G259" s="154"/>
    </row>
    <row r="260" spans="1:7" ht="15.75" customHeight="1">
      <c r="A260" s="153"/>
      <c r="B260" s="31"/>
      <c r="C260" s="31"/>
      <c r="D260" s="31"/>
      <c r="E260" s="31"/>
      <c r="F260" s="31"/>
      <c r="G260" s="154"/>
    </row>
    <row r="261" spans="1:7" ht="15.75" customHeight="1">
      <c r="A261" s="153"/>
      <c r="B261" s="31"/>
      <c r="C261" s="31"/>
      <c r="D261" s="31"/>
      <c r="E261" s="31"/>
      <c r="F261" s="31"/>
      <c r="G261" s="154"/>
    </row>
    <row r="262" spans="1:7" ht="15.75" customHeight="1">
      <c r="A262" s="153"/>
      <c r="B262" s="31"/>
      <c r="C262" s="31"/>
      <c r="D262" s="31"/>
      <c r="E262" s="31"/>
      <c r="F262" s="31"/>
      <c r="G262" s="154"/>
    </row>
    <row r="263" spans="1:7" ht="15.75" customHeight="1">
      <c r="A263" s="153"/>
      <c r="B263" s="31"/>
      <c r="C263" s="31"/>
      <c r="D263" s="31"/>
      <c r="E263" s="31"/>
      <c r="F263" s="31"/>
      <c r="G263" s="154"/>
    </row>
    <row r="264" spans="1:7" ht="15.75" customHeight="1">
      <c r="A264" s="153"/>
      <c r="B264" s="31"/>
      <c r="C264" s="31"/>
      <c r="D264" s="31"/>
      <c r="E264" s="31"/>
      <c r="F264" s="31"/>
      <c r="G264" s="154"/>
    </row>
    <row r="265" spans="1:7" ht="15.75" customHeight="1">
      <c r="A265" s="153"/>
      <c r="B265" s="31"/>
      <c r="C265" s="31"/>
      <c r="D265" s="31"/>
      <c r="E265" s="31"/>
      <c r="F265" s="31"/>
      <c r="G265" s="154"/>
    </row>
    <row r="266" spans="1:7" ht="15.75" customHeight="1">
      <c r="A266" s="153"/>
      <c r="B266" s="31"/>
      <c r="C266" s="31"/>
      <c r="D266" s="31"/>
      <c r="E266" s="31"/>
      <c r="F266" s="31"/>
      <c r="G266" s="154"/>
    </row>
    <row r="267" spans="1:7" ht="15.75" customHeight="1">
      <c r="A267" s="153"/>
      <c r="B267" s="31"/>
      <c r="C267" s="31"/>
      <c r="D267" s="31"/>
      <c r="E267" s="31"/>
      <c r="F267" s="31"/>
      <c r="G267" s="154"/>
    </row>
    <row r="268" spans="1:7" ht="15.75" customHeight="1">
      <c r="A268" s="153"/>
      <c r="B268" s="31"/>
      <c r="C268" s="31"/>
      <c r="D268" s="31"/>
      <c r="E268" s="31"/>
      <c r="F268" s="31"/>
      <c r="G268" s="154"/>
    </row>
    <row r="269" spans="1:7" ht="15.75" customHeight="1">
      <c r="A269" s="153"/>
      <c r="B269" s="31"/>
      <c r="C269" s="31"/>
      <c r="D269" s="31"/>
      <c r="E269" s="31"/>
      <c r="F269" s="31"/>
      <c r="G269" s="154"/>
    </row>
    <row r="270" spans="1:7" ht="15.75" customHeight="1">
      <c r="A270" s="153"/>
      <c r="B270" s="31"/>
      <c r="C270" s="31"/>
      <c r="D270" s="31"/>
      <c r="E270" s="31"/>
      <c r="F270" s="31"/>
      <c r="G270" s="154"/>
    </row>
    <row r="271" spans="1:7" ht="15.75" customHeight="1">
      <c r="A271" s="153"/>
      <c r="B271" s="31"/>
      <c r="C271" s="31"/>
      <c r="D271" s="31"/>
      <c r="E271" s="31"/>
      <c r="F271" s="31"/>
      <c r="G271" s="154"/>
    </row>
    <row r="272" spans="1:7" ht="15.75" customHeight="1">
      <c r="A272" s="153"/>
      <c r="B272" s="31"/>
      <c r="C272" s="31"/>
      <c r="D272" s="31"/>
      <c r="E272" s="31"/>
      <c r="F272" s="31"/>
      <c r="G272" s="154"/>
    </row>
    <row r="273" spans="1:7" ht="15.75" customHeight="1">
      <c r="A273" s="153"/>
      <c r="B273" s="31"/>
      <c r="C273" s="31"/>
      <c r="D273" s="31"/>
      <c r="E273" s="31"/>
      <c r="F273" s="31"/>
      <c r="G273" s="154"/>
    </row>
    <row r="274" spans="1:7" ht="15.75" customHeight="1">
      <c r="A274" s="153"/>
      <c r="B274" s="31"/>
      <c r="C274" s="31"/>
      <c r="D274" s="31"/>
      <c r="E274" s="31"/>
      <c r="F274" s="31"/>
      <c r="G274" s="154"/>
    </row>
    <row r="275" spans="1:7" ht="15.75" customHeight="1">
      <c r="A275" s="153"/>
      <c r="B275" s="31"/>
      <c r="C275" s="31"/>
      <c r="D275" s="31"/>
      <c r="E275" s="31"/>
      <c r="F275" s="31"/>
      <c r="G275" s="154"/>
    </row>
    <row r="276" spans="1:7" ht="15.75" customHeight="1">
      <c r="A276" s="153"/>
      <c r="B276" s="31"/>
      <c r="C276" s="31"/>
      <c r="D276" s="31"/>
      <c r="E276" s="31"/>
      <c r="F276" s="31"/>
      <c r="G276" s="154"/>
    </row>
    <row r="277" spans="1:7" ht="15.75" customHeight="1">
      <c r="A277" s="153"/>
      <c r="B277" s="31"/>
      <c r="C277" s="31"/>
      <c r="D277" s="31"/>
      <c r="E277" s="31"/>
      <c r="F277" s="31"/>
      <c r="G277" s="154"/>
    </row>
    <row r="278" spans="1:7" ht="15.75" customHeight="1">
      <c r="A278" s="153"/>
      <c r="B278" s="31"/>
      <c r="C278" s="31"/>
      <c r="D278" s="31"/>
      <c r="E278" s="31"/>
      <c r="F278" s="31"/>
      <c r="G278" s="154"/>
    </row>
    <row r="279" spans="1:7" ht="15.75" customHeight="1">
      <c r="A279" s="153"/>
      <c r="B279" s="31"/>
      <c r="C279" s="31"/>
      <c r="D279" s="31"/>
      <c r="E279" s="31"/>
      <c r="F279" s="31"/>
      <c r="G279" s="154"/>
    </row>
    <row r="280" spans="1:7" ht="15.75" customHeight="1">
      <c r="A280" s="153"/>
      <c r="B280" s="31"/>
      <c r="C280" s="31"/>
      <c r="D280" s="31"/>
      <c r="E280" s="31"/>
      <c r="F280" s="31"/>
      <c r="G280" s="154"/>
    </row>
    <row r="281" spans="1:7" ht="15.75" customHeight="1">
      <c r="A281" s="153"/>
      <c r="B281" s="31"/>
      <c r="C281" s="31"/>
      <c r="D281" s="31"/>
      <c r="E281" s="31"/>
      <c r="F281" s="31"/>
      <c r="G281" s="154"/>
    </row>
    <row r="282" spans="1:7" ht="15.75" customHeight="1">
      <c r="A282" s="153"/>
      <c r="B282" s="31"/>
      <c r="C282" s="31"/>
      <c r="D282" s="31"/>
      <c r="E282" s="31"/>
      <c r="F282" s="31"/>
      <c r="G282" s="154"/>
    </row>
    <row r="283" spans="1:7" ht="15.75" customHeight="1">
      <c r="A283" s="153"/>
      <c r="B283" s="31"/>
      <c r="C283" s="31"/>
      <c r="D283" s="31"/>
      <c r="E283" s="31"/>
      <c r="F283" s="31"/>
      <c r="G283" s="154"/>
    </row>
    <row r="284" spans="1:7" ht="15.75" customHeight="1">
      <c r="A284" s="153"/>
      <c r="B284" s="31"/>
      <c r="C284" s="31"/>
      <c r="D284" s="31"/>
      <c r="E284" s="31"/>
      <c r="F284" s="31"/>
      <c r="G284" s="154"/>
    </row>
    <row r="285" spans="1:7" ht="15.75" customHeight="1">
      <c r="A285" s="153"/>
      <c r="B285" s="31"/>
      <c r="C285" s="31"/>
      <c r="D285" s="31"/>
      <c r="E285" s="31"/>
      <c r="F285" s="31"/>
      <c r="G285" s="154"/>
    </row>
    <row r="286" spans="1:7" ht="15.75" customHeight="1">
      <c r="A286" s="153"/>
      <c r="B286" s="31"/>
      <c r="C286" s="31"/>
      <c r="D286" s="31"/>
      <c r="E286" s="31"/>
      <c r="F286" s="31"/>
      <c r="G286" s="154"/>
    </row>
    <row r="287" spans="1:7" ht="15.75" customHeight="1">
      <c r="A287" s="153"/>
      <c r="B287" s="31"/>
      <c r="C287" s="31"/>
      <c r="D287" s="31"/>
      <c r="E287" s="31"/>
      <c r="F287" s="31"/>
      <c r="G287" s="154"/>
    </row>
    <row r="288" spans="1:7" ht="15.75" customHeight="1">
      <c r="A288" s="153"/>
      <c r="B288" s="31"/>
      <c r="C288" s="31"/>
      <c r="D288" s="31"/>
      <c r="E288" s="31"/>
      <c r="F288" s="31"/>
      <c r="G288" s="154"/>
    </row>
    <row r="289" spans="1:7" ht="15.75" customHeight="1">
      <c r="A289" s="153"/>
      <c r="B289" s="31"/>
      <c r="C289" s="31"/>
      <c r="D289" s="31"/>
      <c r="E289" s="31"/>
      <c r="F289" s="31"/>
      <c r="G289" s="154"/>
    </row>
    <row r="290" spans="1:7" ht="15.75" customHeight="1">
      <c r="A290" s="153"/>
      <c r="B290" s="31"/>
      <c r="C290" s="31"/>
      <c r="D290" s="31"/>
      <c r="E290" s="31"/>
      <c r="F290" s="31"/>
      <c r="G290" s="154"/>
    </row>
    <row r="291" spans="1:7" ht="15.75" customHeight="1">
      <c r="A291" s="153"/>
      <c r="B291" s="31"/>
      <c r="C291" s="31"/>
      <c r="D291" s="31"/>
      <c r="E291" s="31"/>
      <c r="F291" s="31"/>
      <c r="G291" s="154"/>
    </row>
    <row r="292" spans="1:7" ht="15.75" customHeight="1">
      <c r="A292" s="153"/>
      <c r="B292" s="31"/>
      <c r="C292" s="31"/>
      <c r="D292" s="31"/>
      <c r="E292" s="31"/>
      <c r="F292" s="31"/>
      <c r="G292" s="154"/>
    </row>
    <row r="293" spans="1:7" ht="15.75" customHeight="1">
      <c r="A293" s="153"/>
      <c r="B293" s="31"/>
      <c r="C293" s="31"/>
      <c r="D293" s="31"/>
      <c r="E293" s="31"/>
      <c r="F293" s="31"/>
      <c r="G293" s="154"/>
    </row>
    <row r="294" spans="1:7" ht="15.75" customHeight="1">
      <c r="A294" s="153"/>
      <c r="B294" s="31"/>
      <c r="C294" s="31"/>
      <c r="D294" s="31"/>
      <c r="E294" s="31"/>
      <c r="F294" s="31"/>
      <c r="G294" s="154"/>
    </row>
    <row r="295" spans="1:7" ht="15.75" customHeight="1">
      <c r="A295" s="153"/>
      <c r="B295" s="31"/>
      <c r="C295" s="31"/>
      <c r="D295" s="31"/>
      <c r="E295" s="31"/>
      <c r="F295" s="31"/>
      <c r="G295" s="154"/>
    </row>
    <row r="296" spans="1:7" ht="15.75" customHeight="1">
      <c r="A296" s="153"/>
      <c r="B296" s="31"/>
      <c r="C296" s="31"/>
      <c r="D296" s="31"/>
      <c r="E296" s="31"/>
      <c r="F296" s="31"/>
      <c r="G296" s="154"/>
    </row>
    <row r="297" spans="1:7" ht="15.75" customHeight="1">
      <c r="A297" s="153"/>
      <c r="B297" s="31"/>
      <c r="C297" s="31"/>
      <c r="D297" s="31"/>
      <c r="E297" s="31"/>
      <c r="F297" s="31"/>
      <c r="G297" s="154"/>
    </row>
    <row r="298" spans="1:7" ht="15.75" customHeight="1">
      <c r="A298" s="153"/>
      <c r="B298" s="31"/>
      <c r="C298" s="31"/>
      <c r="D298" s="31"/>
      <c r="E298" s="31"/>
      <c r="F298" s="31"/>
      <c r="G298" s="154"/>
    </row>
    <row r="299" spans="1:7" ht="15.75" customHeight="1">
      <c r="A299" s="153"/>
      <c r="B299" s="31"/>
      <c r="C299" s="31"/>
      <c r="D299" s="31"/>
      <c r="E299" s="31"/>
      <c r="F299" s="31"/>
      <c r="G299" s="154"/>
    </row>
    <row r="300" spans="1:7" ht="15.75" customHeight="1">
      <c r="A300" s="153"/>
      <c r="B300" s="31"/>
      <c r="C300" s="31"/>
      <c r="D300" s="31"/>
      <c r="E300" s="31"/>
      <c r="F300" s="31"/>
      <c r="G300" s="154"/>
    </row>
    <row r="301" spans="1:7" ht="15.75" customHeight="1">
      <c r="A301" s="153"/>
      <c r="B301" s="31"/>
      <c r="C301" s="31"/>
      <c r="D301" s="31"/>
      <c r="E301" s="31"/>
      <c r="F301" s="31"/>
      <c r="G301" s="154"/>
    </row>
    <row r="302" spans="1:7" ht="15.75" customHeight="1">
      <c r="A302" s="153"/>
      <c r="B302" s="31"/>
      <c r="C302" s="31"/>
      <c r="D302" s="31"/>
      <c r="E302" s="31"/>
      <c r="F302" s="31"/>
      <c r="G302" s="154"/>
    </row>
    <row r="303" spans="1:7" ht="15.75" customHeight="1">
      <c r="A303" s="153"/>
      <c r="B303" s="31"/>
      <c r="C303" s="31"/>
      <c r="D303" s="31"/>
      <c r="E303" s="31"/>
      <c r="F303" s="31"/>
      <c r="G303" s="154"/>
    </row>
    <row r="304" spans="1:7" ht="15.75" customHeight="1">
      <c r="A304" s="153"/>
      <c r="B304" s="31"/>
      <c r="C304" s="31"/>
      <c r="D304" s="31"/>
      <c r="E304" s="31"/>
      <c r="F304" s="31"/>
      <c r="G304" s="154"/>
    </row>
    <row r="305" spans="1:7" ht="15.75" customHeight="1">
      <c r="A305" s="153"/>
      <c r="B305" s="31"/>
      <c r="C305" s="31"/>
      <c r="D305" s="31"/>
      <c r="E305" s="31"/>
      <c r="F305" s="31"/>
      <c r="G305" s="154"/>
    </row>
    <row r="306" spans="1:7" ht="15.75" customHeight="1">
      <c r="A306" s="153"/>
      <c r="B306" s="31"/>
      <c r="C306" s="31"/>
      <c r="D306" s="31"/>
      <c r="E306" s="31"/>
      <c r="F306" s="31"/>
      <c r="G306" s="154"/>
    </row>
    <row r="307" spans="1:7" ht="15.75" customHeight="1">
      <c r="A307" s="153"/>
      <c r="B307" s="31"/>
      <c r="C307" s="31"/>
      <c r="D307" s="31"/>
      <c r="E307" s="31"/>
      <c r="F307" s="31"/>
      <c r="G307" s="154"/>
    </row>
    <row r="308" spans="1:7" ht="15.75" customHeight="1">
      <c r="A308" s="153"/>
      <c r="B308" s="31"/>
      <c r="C308" s="31"/>
      <c r="D308" s="31"/>
      <c r="E308" s="31"/>
      <c r="F308" s="31"/>
      <c r="G308" s="154"/>
    </row>
    <row r="309" spans="1:7" ht="15.75" customHeight="1">
      <c r="A309" s="153"/>
      <c r="B309" s="31"/>
      <c r="C309" s="31"/>
      <c r="D309" s="31"/>
      <c r="E309" s="31"/>
      <c r="F309" s="31"/>
      <c r="G309" s="154"/>
    </row>
    <row r="310" spans="1:7" ht="15.75" customHeight="1">
      <c r="A310" s="153"/>
      <c r="B310" s="31"/>
      <c r="C310" s="31"/>
      <c r="D310" s="31"/>
      <c r="E310" s="31"/>
      <c r="F310" s="31"/>
      <c r="G310" s="154"/>
    </row>
    <row r="311" spans="1:7" ht="15.75" customHeight="1">
      <c r="A311" s="153"/>
      <c r="B311" s="31"/>
      <c r="C311" s="31"/>
      <c r="D311" s="31"/>
      <c r="E311" s="31"/>
      <c r="F311" s="31"/>
      <c r="G311" s="154"/>
    </row>
    <row r="312" spans="1:7" ht="15.75" customHeight="1">
      <c r="A312" s="153"/>
      <c r="B312" s="31"/>
      <c r="C312" s="31"/>
      <c r="D312" s="31"/>
      <c r="E312" s="31"/>
      <c r="F312" s="31"/>
      <c r="G312" s="154"/>
    </row>
    <row r="313" spans="1:7" ht="15.75" customHeight="1">
      <c r="A313" s="153"/>
      <c r="B313" s="31"/>
      <c r="C313" s="31"/>
      <c r="D313" s="31"/>
      <c r="E313" s="31"/>
      <c r="F313" s="31"/>
      <c r="G313" s="154"/>
    </row>
    <row r="314" spans="1:7" ht="15.75" customHeight="1">
      <c r="A314" s="153"/>
      <c r="B314" s="31"/>
      <c r="C314" s="31"/>
      <c r="D314" s="31"/>
      <c r="E314" s="31"/>
      <c r="F314" s="31"/>
      <c r="G314" s="154"/>
    </row>
    <row r="315" spans="1:7" ht="15.75" customHeight="1">
      <c r="A315" s="153"/>
      <c r="B315" s="31"/>
      <c r="C315" s="31"/>
      <c r="D315" s="31"/>
      <c r="E315" s="31"/>
      <c r="F315" s="31"/>
      <c r="G315" s="154"/>
    </row>
    <row r="316" spans="1:7" ht="15.75" customHeight="1">
      <c r="A316" s="153"/>
      <c r="B316" s="31"/>
      <c r="C316" s="31"/>
      <c r="D316" s="31"/>
      <c r="E316" s="31"/>
      <c r="F316" s="31"/>
      <c r="G316" s="154"/>
    </row>
    <row r="317" spans="1:7" ht="15.75" customHeight="1">
      <c r="A317" s="153"/>
      <c r="B317" s="31"/>
      <c r="C317" s="31"/>
      <c r="D317" s="31"/>
      <c r="E317" s="31"/>
      <c r="F317" s="31"/>
      <c r="G317" s="154"/>
    </row>
    <row r="318" spans="1:7" ht="15.75" customHeight="1">
      <c r="A318" s="153"/>
      <c r="B318" s="31"/>
      <c r="C318" s="31"/>
      <c r="D318" s="31"/>
      <c r="E318" s="31"/>
      <c r="F318" s="31"/>
      <c r="G318" s="154"/>
    </row>
    <row r="319" spans="1:7" ht="15.75" customHeight="1">
      <c r="A319" s="153"/>
      <c r="B319" s="31"/>
      <c r="C319" s="31"/>
      <c r="D319" s="31"/>
      <c r="E319" s="31"/>
      <c r="F319" s="31"/>
      <c r="G319" s="154"/>
    </row>
    <row r="320" spans="1:7" ht="15.75" customHeight="1">
      <c r="A320" s="153"/>
      <c r="B320" s="31"/>
      <c r="C320" s="31"/>
      <c r="D320" s="31"/>
      <c r="E320" s="31"/>
      <c r="F320" s="31"/>
      <c r="G320" s="154"/>
    </row>
    <row r="321" spans="1:7" ht="15.75" customHeight="1">
      <c r="A321" s="153"/>
      <c r="B321" s="31"/>
      <c r="C321" s="31"/>
      <c r="D321" s="31"/>
      <c r="E321" s="31"/>
      <c r="F321" s="31"/>
      <c r="G321" s="154"/>
    </row>
    <row r="322" spans="1:7" ht="15.75" customHeight="1">
      <c r="A322" s="153"/>
      <c r="B322" s="31"/>
      <c r="C322" s="31"/>
      <c r="D322" s="31"/>
      <c r="E322" s="31"/>
      <c r="F322" s="31"/>
      <c r="G322" s="154"/>
    </row>
    <row r="323" spans="1:7" ht="15.75" customHeight="1">
      <c r="A323" s="153"/>
      <c r="B323" s="31"/>
      <c r="C323" s="31"/>
      <c r="D323" s="31"/>
      <c r="E323" s="31"/>
      <c r="F323" s="31"/>
      <c r="G323" s="154"/>
    </row>
    <row r="324" spans="1:7" ht="15.75" customHeight="1">
      <c r="A324" s="153"/>
      <c r="B324" s="31"/>
      <c r="C324" s="31"/>
      <c r="D324" s="31"/>
      <c r="E324" s="31"/>
      <c r="F324" s="31"/>
      <c r="G324" s="154"/>
    </row>
    <row r="325" spans="1:7" ht="15.75" customHeight="1">
      <c r="A325" s="153"/>
      <c r="B325" s="31"/>
      <c r="C325" s="31"/>
      <c r="D325" s="31"/>
      <c r="E325" s="31"/>
      <c r="F325" s="31"/>
      <c r="G325" s="154"/>
    </row>
    <row r="326" spans="1:7" ht="15.75" customHeight="1">
      <c r="A326" s="153"/>
      <c r="B326" s="31"/>
      <c r="C326" s="31"/>
      <c r="D326" s="31"/>
      <c r="E326" s="31"/>
      <c r="F326" s="31"/>
      <c r="G326" s="154"/>
    </row>
    <row r="327" spans="1:7" ht="15.75" customHeight="1">
      <c r="A327" s="153"/>
      <c r="B327" s="31"/>
      <c r="C327" s="31"/>
      <c r="D327" s="31"/>
      <c r="E327" s="31"/>
      <c r="F327" s="31"/>
      <c r="G327" s="154"/>
    </row>
    <row r="328" spans="1:7" ht="15.75" customHeight="1">
      <c r="A328" s="153"/>
      <c r="B328" s="31"/>
      <c r="C328" s="31"/>
      <c r="D328" s="31"/>
      <c r="E328" s="31"/>
      <c r="F328" s="31"/>
      <c r="G328" s="154"/>
    </row>
    <row r="329" spans="1:7" ht="15.75" customHeight="1">
      <c r="A329" s="153"/>
      <c r="B329" s="31"/>
      <c r="C329" s="31"/>
      <c r="D329" s="31"/>
      <c r="E329" s="31"/>
      <c r="F329" s="31"/>
      <c r="G329" s="154"/>
    </row>
    <row r="330" spans="1:7" ht="15.75" customHeight="1">
      <c r="A330" s="153"/>
      <c r="B330" s="31"/>
      <c r="C330" s="31"/>
      <c r="D330" s="31"/>
      <c r="E330" s="31"/>
      <c r="F330" s="31"/>
      <c r="G330" s="154"/>
    </row>
    <row r="331" spans="1:7" ht="15.75" customHeight="1">
      <c r="A331" s="153"/>
      <c r="B331" s="31"/>
      <c r="C331" s="31"/>
      <c r="D331" s="31"/>
      <c r="E331" s="31"/>
      <c r="F331" s="31"/>
      <c r="G331" s="154"/>
    </row>
    <row r="332" spans="1:7" ht="15.75" customHeight="1">
      <c r="A332" s="153"/>
      <c r="B332" s="31"/>
      <c r="C332" s="31"/>
      <c r="D332" s="31"/>
      <c r="E332" s="31"/>
      <c r="F332" s="31"/>
      <c r="G332" s="154"/>
    </row>
    <row r="333" spans="1:7" ht="15.75" customHeight="1">
      <c r="A333" s="153"/>
      <c r="B333" s="31"/>
      <c r="C333" s="31"/>
      <c r="D333" s="31"/>
      <c r="E333" s="31"/>
      <c r="F333" s="31"/>
      <c r="G333" s="154"/>
    </row>
    <row r="334" spans="1:7" ht="15.75" customHeight="1">
      <c r="A334" s="153"/>
      <c r="B334" s="31"/>
      <c r="C334" s="31"/>
      <c r="D334" s="31"/>
      <c r="E334" s="31"/>
      <c r="F334" s="31"/>
      <c r="G334" s="154"/>
    </row>
    <row r="335" spans="1:7" ht="15.75" customHeight="1">
      <c r="A335" s="153"/>
      <c r="B335" s="31"/>
      <c r="C335" s="31"/>
      <c r="D335" s="31"/>
      <c r="E335" s="31"/>
      <c r="F335" s="31"/>
      <c r="G335" s="154"/>
    </row>
    <row r="336" spans="1:7" ht="15.75" customHeight="1">
      <c r="A336" s="153"/>
      <c r="B336" s="31"/>
      <c r="C336" s="31"/>
      <c r="D336" s="31"/>
      <c r="E336" s="31"/>
      <c r="F336" s="31"/>
      <c r="G336" s="154"/>
    </row>
    <row r="337" spans="1:7" ht="15.75" customHeight="1">
      <c r="A337" s="153"/>
      <c r="B337" s="31"/>
      <c r="C337" s="31"/>
      <c r="D337" s="31"/>
      <c r="E337" s="31"/>
      <c r="F337" s="31"/>
      <c r="G337" s="154"/>
    </row>
    <row r="338" spans="1:7" ht="15.75" customHeight="1">
      <c r="A338" s="153"/>
      <c r="B338" s="31"/>
      <c r="C338" s="31"/>
      <c r="D338" s="31"/>
      <c r="E338" s="31"/>
      <c r="F338" s="31"/>
      <c r="G338" s="154"/>
    </row>
    <row r="339" spans="1:7" ht="15.75" customHeight="1">
      <c r="A339" s="153"/>
      <c r="B339" s="31"/>
      <c r="C339" s="31"/>
      <c r="D339" s="31"/>
      <c r="E339" s="31"/>
      <c r="F339" s="31"/>
      <c r="G339" s="154"/>
    </row>
    <row r="340" spans="1:7" ht="15.75" customHeight="1">
      <c r="A340" s="153"/>
      <c r="B340" s="31"/>
      <c r="C340" s="31"/>
      <c r="D340" s="31"/>
      <c r="E340" s="31"/>
      <c r="F340" s="31"/>
      <c r="G340" s="154"/>
    </row>
    <row r="341" spans="1:7" ht="15.75" customHeight="1">
      <c r="A341" s="153"/>
      <c r="B341" s="31"/>
      <c r="C341" s="31"/>
      <c r="D341" s="31"/>
      <c r="E341" s="31"/>
      <c r="F341" s="31"/>
      <c r="G341" s="154"/>
    </row>
    <row r="342" spans="1:7" ht="15.75" customHeight="1">
      <c r="A342" s="153"/>
      <c r="B342" s="31"/>
      <c r="C342" s="31"/>
      <c r="D342" s="31"/>
      <c r="E342" s="31"/>
      <c r="F342" s="31"/>
      <c r="G342" s="154"/>
    </row>
    <row r="343" spans="1:7" ht="15.75" customHeight="1">
      <c r="A343" s="153"/>
      <c r="B343" s="31"/>
      <c r="C343" s="31"/>
      <c r="D343" s="31"/>
      <c r="E343" s="31"/>
      <c r="F343" s="31"/>
      <c r="G343" s="154"/>
    </row>
    <row r="344" spans="1:7" ht="15.75" customHeight="1">
      <c r="A344" s="153"/>
      <c r="B344" s="31"/>
      <c r="C344" s="31"/>
      <c r="D344" s="31"/>
      <c r="E344" s="31"/>
      <c r="F344" s="31"/>
      <c r="G344" s="154"/>
    </row>
    <row r="345" spans="1:7" ht="15.75" customHeight="1">
      <c r="A345" s="153"/>
      <c r="B345" s="31"/>
      <c r="C345" s="31"/>
      <c r="D345" s="31"/>
      <c r="E345" s="31"/>
      <c r="F345" s="31"/>
      <c r="G345" s="154"/>
    </row>
    <row r="346" spans="1:7" ht="15.75" customHeight="1">
      <c r="A346" s="153"/>
      <c r="B346" s="31"/>
      <c r="C346" s="31"/>
      <c r="D346" s="31"/>
      <c r="E346" s="31"/>
      <c r="F346" s="31"/>
      <c r="G346" s="154"/>
    </row>
    <row r="347" spans="1:7" ht="15.75" customHeight="1">
      <c r="A347" s="153"/>
      <c r="B347" s="31"/>
      <c r="C347" s="31"/>
      <c r="D347" s="31"/>
      <c r="E347" s="31"/>
      <c r="F347" s="31"/>
      <c r="G347" s="154"/>
    </row>
    <row r="348" spans="1:7" ht="15.75" customHeight="1">
      <c r="A348" s="153"/>
      <c r="B348" s="31"/>
      <c r="C348" s="31"/>
      <c r="D348" s="31"/>
      <c r="E348" s="31"/>
      <c r="F348" s="31"/>
      <c r="G348" s="154"/>
    </row>
    <row r="349" spans="1:7" ht="15.75" customHeight="1">
      <c r="A349" s="153"/>
      <c r="B349" s="31"/>
      <c r="C349" s="31"/>
      <c r="D349" s="31"/>
      <c r="E349" s="31"/>
      <c r="F349" s="31"/>
      <c r="G349" s="154"/>
    </row>
    <row r="350" spans="1:7" ht="15.75" customHeight="1">
      <c r="A350" s="153"/>
      <c r="B350" s="31"/>
      <c r="C350" s="31"/>
      <c r="D350" s="31"/>
      <c r="E350" s="31"/>
      <c r="F350" s="31"/>
      <c r="G350" s="154"/>
    </row>
    <row r="351" spans="1:7" ht="15.75" customHeight="1">
      <c r="A351" s="153"/>
      <c r="B351" s="31"/>
      <c r="C351" s="31"/>
      <c r="D351" s="31"/>
      <c r="E351" s="31"/>
      <c r="F351" s="31"/>
      <c r="G351" s="154"/>
    </row>
    <row r="352" spans="1:7" ht="15.75" customHeight="1">
      <c r="A352" s="153"/>
      <c r="B352" s="31"/>
      <c r="C352" s="31"/>
      <c r="D352" s="31"/>
      <c r="E352" s="31"/>
      <c r="F352" s="31"/>
      <c r="G352" s="154"/>
    </row>
    <row r="353" spans="1:7" ht="15.75" customHeight="1">
      <c r="A353" s="153"/>
      <c r="B353" s="31"/>
      <c r="C353" s="31"/>
      <c r="D353" s="31"/>
      <c r="E353" s="31"/>
      <c r="F353" s="31"/>
      <c r="G353" s="154"/>
    </row>
    <row r="354" spans="1:7" ht="15.75" customHeight="1">
      <c r="A354" s="153"/>
      <c r="B354" s="31"/>
      <c r="C354" s="31"/>
      <c r="D354" s="31"/>
      <c r="E354" s="31"/>
      <c r="F354" s="31"/>
      <c r="G354" s="154"/>
    </row>
    <row r="355" spans="1:7" ht="15.75" customHeight="1">
      <c r="A355" s="153"/>
      <c r="B355" s="31"/>
      <c r="C355" s="31"/>
      <c r="D355" s="31"/>
      <c r="E355" s="31"/>
      <c r="F355" s="31"/>
      <c r="G355" s="154"/>
    </row>
    <row r="356" spans="1:7" ht="15.75" customHeight="1">
      <c r="A356" s="153"/>
      <c r="B356" s="31"/>
      <c r="C356" s="31"/>
      <c r="D356" s="31"/>
      <c r="E356" s="31"/>
      <c r="F356" s="31"/>
      <c r="G356" s="154"/>
    </row>
    <row r="357" spans="1:7" ht="15.75" customHeight="1">
      <c r="A357" s="153"/>
      <c r="B357" s="31"/>
      <c r="C357" s="31"/>
      <c r="D357" s="31"/>
      <c r="E357" s="31"/>
      <c r="F357" s="31"/>
      <c r="G357" s="154"/>
    </row>
    <row r="358" spans="1:7" ht="15.75" customHeight="1">
      <c r="A358" s="153"/>
      <c r="B358" s="31"/>
      <c r="C358" s="31"/>
      <c r="D358" s="31"/>
      <c r="E358" s="31"/>
      <c r="F358" s="31"/>
      <c r="G358" s="154"/>
    </row>
    <row r="359" spans="1:7" ht="15.75" customHeight="1">
      <c r="A359" s="153"/>
      <c r="B359" s="31"/>
      <c r="C359" s="31"/>
      <c r="D359" s="31"/>
      <c r="E359" s="31"/>
      <c r="F359" s="31"/>
      <c r="G359" s="154"/>
    </row>
    <row r="360" spans="1:7" ht="15.75" customHeight="1">
      <c r="A360" s="153"/>
      <c r="B360" s="31"/>
      <c r="C360" s="31"/>
      <c r="D360" s="31"/>
      <c r="E360" s="31"/>
      <c r="F360" s="31"/>
      <c r="G360" s="154"/>
    </row>
    <row r="361" spans="1:7" ht="15.75" customHeight="1">
      <c r="A361" s="153"/>
      <c r="B361" s="31"/>
      <c r="C361" s="31"/>
      <c r="D361" s="31"/>
      <c r="E361" s="31"/>
      <c r="F361" s="31"/>
      <c r="G361" s="154"/>
    </row>
    <row r="362" spans="1:7" ht="15.75" customHeight="1">
      <c r="A362" s="153"/>
      <c r="B362" s="31"/>
      <c r="C362" s="31"/>
      <c r="D362" s="31"/>
      <c r="E362" s="31"/>
      <c r="F362" s="31"/>
      <c r="G362" s="154"/>
    </row>
    <row r="363" spans="1:7" ht="15.75" customHeight="1">
      <c r="A363" s="153"/>
      <c r="B363" s="31"/>
      <c r="C363" s="31"/>
      <c r="D363" s="31"/>
      <c r="E363" s="31"/>
      <c r="F363" s="31"/>
      <c r="G363" s="154"/>
    </row>
    <row r="364" spans="1:7" ht="15.75" customHeight="1">
      <c r="A364" s="153"/>
      <c r="B364" s="31"/>
      <c r="C364" s="31"/>
      <c r="D364" s="31"/>
      <c r="E364" s="31"/>
      <c r="F364" s="31"/>
      <c r="G364" s="154"/>
    </row>
    <row r="365" spans="1:7" ht="15.75" customHeight="1">
      <c r="A365" s="153"/>
      <c r="B365" s="31"/>
      <c r="C365" s="31"/>
      <c r="D365" s="31"/>
      <c r="E365" s="31"/>
      <c r="F365" s="31"/>
      <c r="G365" s="154"/>
    </row>
    <row r="366" spans="1:7" ht="15.75" customHeight="1">
      <c r="A366" s="153"/>
      <c r="B366" s="31"/>
      <c r="C366" s="31"/>
      <c r="D366" s="31"/>
      <c r="E366" s="31"/>
      <c r="F366" s="31"/>
      <c r="G366" s="154"/>
    </row>
    <row r="367" spans="1:7" ht="15.75" customHeight="1">
      <c r="A367" s="153"/>
      <c r="B367" s="31"/>
      <c r="C367" s="31"/>
      <c r="D367" s="31"/>
      <c r="E367" s="31"/>
      <c r="F367" s="31"/>
      <c r="G367" s="154"/>
    </row>
    <row r="368" spans="1:7" ht="15.75" customHeight="1">
      <c r="A368" s="153"/>
      <c r="B368" s="31"/>
      <c r="C368" s="31"/>
      <c r="D368" s="31"/>
      <c r="E368" s="31"/>
      <c r="F368" s="31"/>
      <c r="G368" s="154"/>
    </row>
    <row r="369" spans="1:7" ht="15.75" customHeight="1">
      <c r="A369" s="153"/>
      <c r="B369" s="31"/>
      <c r="C369" s="31"/>
      <c r="D369" s="31"/>
      <c r="E369" s="31"/>
      <c r="F369" s="31"/>
      <c r="G369" s="154"/>
    </row>
    <row r="370" spans="1:7" ht="15.75" customHeight="1">
      <c r="A370" s="153"/>
      <c r="B370" s="31"/>
      <c r="C370" s="31"/>
      <c r="D370" s="31"/>
      <c r="E370" s="31"/>
      <c r="F370" s="31"/>
      <c r="G370" s="154"/>
    </row>
    <row r="371" spans="1:7" ht="15.75" customHeight="1">
      <c r="A371" s="153"/>
      <c r="B371" s="31"/>
      <c r="C371" s="31"/>
      <c r="D371" s="31"/>
      <c r="E371" s="31"/>
      <c r="F371" s="31"/>
      <c r="G371" s="154"/>
    </row>
    <row r="372" spans="1:7" ht="15.75" customHeight="1">
      <c r="A372" s="153"/>
      <c r="B372" s="31"/>
      <c r="C372" s="31"/>
      <c r="D372" s="31"/>
      <c r="E372" s="31"/>
      <c r="F372" s="31"/>
      <c r="G372" s="154"/>
    </row>
    <row r="373" spans="1:7" ht="15.75" customHeight="1">
      <c r="A373" s="153"/>
      <c r="B373" s="31"/>
      <c r="C373" s="31"/>
      <c r="D373" s="31"/>
      <c r="E373" s="31"/>
      <c r="F373" s="31"/>
      <c r="G373" s="154"/>
    </row>
    <row r="374" spans="1:7" ht="15.75" customHeight="1">
      <c r="A374" s="153"/>
      <c r="B374" s="31"/>
      <c r="C374" s="31"/>
      <c r="D374" s="31"/>
      <c r="E374" s="31"/>
      <c r="F374" s="31"/>
      <c r="G374" s="154"/>
    </row>
    <row r="375" spans="1:7" ht="15.75" customHeight="1">
      <c r="A375" s="153"/>
      <c r="B375" s="31"/>
      <c r="C375" s="31"/>
      <c r="D375" s="31"/>
      <c r="E375" s="31"/>
      <c r="F375" s="31"/>
      <c r="G375" s="154"/>
    </row>
    <row r="376" spans="1:7" ht="15.75" customHeight="1">
      <c r="A376" s="153"/>
      <c r="B376" s="31"/>
      <c r="C376" s="31"/>
      <c r="D376" s="31"/>
      <c r="E376" s="31"/>
      <c r="F376" s="31"/>
      <c r="G376" s="154"/>
    </row>
    <row r="377" spans="1:7" ht="15.75" customHeight="1">
      <c r="A377" s="153"/>
      <c r="B377" s="31"/>
      <c r="C377" s="31"/>
      <c r="D377" s="31"/>
      <c r="E377" s="31"/>
      <c r="F377" s="31"/>
      <c r="G377" s="154"/>
    </row>
    <row r="378" spans="1:7" ht="15.75" customHeight="1">
      <c r="A378" s="153"/>
      <c r="B378" s="31"/>
      <c r="C378" s="31"/>
      <c r="D378" s="31"/>
      <c r="E378" s="31"/>
      <c r="F378" s="31"/>
      <c r="G378" s="154"/>
    </row>
    <row r="379" spans="1:7" ht="15.75" customHeight="1">
      <c r="A379" s="153"/>
      <c r="B379" s="31"/>
      <c r="C379" s="31"/>
      <c r="D379" s="31"/>
      <c r="E379" s="31"/>
      <c r="F379" s="31"/>
      <c r="G379" s="154"/>
    </row>
    <row r="380" spans="1:7" ht="15.75" customHeight="1">
      <c r="A380" s="153"/>
      <c r="B380" s="31"/>
      <c r="C380" s="31"/>
      <c r="D380" s="31"/>
      <c r="E380" s="31"/>
      <c r="F380" s="31"/>
      <c r="G380" s="154"/>
    </row>
    <row r="381" spans="1:7" ht="15.75" customHeight="1">
      <c r="A381" s="153"/>
      <c r="B381" s="31"/>
      <c r="C381" s="31"/>
      <c r="D381" s="31"/>
      <c r="E381" s="31"/>
      <c r="F381" s="31"/>
      <c r="G381" s="154"/>
    </row>
    <row r="382" spans="1:7" ht="15.75" customHeight="1">
      <c r="A382" s="153"/>
      <c r="B382" s="31"/>
      <c r="C382" s="31"/>
      <c r="D382" s="31"/>
      <c r="E382" s="31"/>
      <c r="F382" s="31"/>
      <c r="G382" s="154"/>
    </row>
    <row r="383" spans="1:7" ht="15.75" customHeight="1">
      <c r="A383" s="153"/>
      <c r="B383" s="31"/>
      <c r="C383" s="31"/>
      <c r="D383" s="31"/>
      <c r="E383" s="31"/>
      <c r="F383" s="31"/>
      <c r="G383" s="154"/>
    </row>
    <row r="384" spans="1:7" ht="15.75" customHeight="1">
      <c r="A384" s="153"/>
      <c r="B384" s="31"/>
      <c r="C384" s="31"/>
      <c r="D384" s="31"/>
      <c r="E384" s="31"/>
      <c r="F384" s="31"/>
      <c r="G384" s="154"/>
    </row>
    <row r="385" spans="1:7" ht="15.75" customHeight="1">
      <c r="A385" s="153"/>
      <c r="B385" s="31"/>
      <c r="C385" s="31"/>
      <c r="D385" s="31"/>
      <c r="E385" s="31"/>
      <c r="F385" s="31"/>
      <c r="G385" s="154"/>
    </row>
    <row r="386" spans="1:7" ht="15.75" customHeight="1">
      <c r="A386" s="153"/>
      <c r="B386" s="31"/>
      <c r="C386" s="31"/>
      <c r="D386" s="31"/>
      <c r="E386" s="31"/>
      <c r="F386" s="31"/>
      <c r="G386" s="154"/>
    </row>
    <row r="387" spans="1:7" ht="15.75" customHeight="1">
      <c r="A387" s="153"/>
      <c r="B387" s="31"/>
      <c r="C387" s="31"/>
      <c r="D387" s="31"/>
      <c r="E387" s="31"/>
      <c r="F387" s="31"/>
      <c r="G387" s="154"/>
    </row>
    <row r="388" spans="1:7" ht="15.75" customHeight="1">
      <c r="A388" s="153"/>
      <c r="B388" s="31"/>
      <c r="C388" s="31"/>
      <c r="D388" s="31"/>
      <c r="E388" s="31"/>
      <c r="F388" s="31"/>
      <c r="G388" s="154"/>
    </row>
    <row r="389" spans="1:7" ht="15.75" customHeight="1">
      <c r="A389" s="153"/>
      <c r="B389" s="31"/>
      <c r="C389" s="31"/>
      <c r="D389" s="31"/>
      <c r="E389" s="31"/>
      <c r="F389" s="31"/>
      <c r="G389" s="154"/>
    </row>
    <row r="390" spans="1:7" ht="15.75" customHeight="1">
      <c r="A390" s="153"/>
      <c r="B390" s="31"/>
      <c r="C390" s="31"/>
      <c r="D390" s="31"/>
      <c r="E390" s="31"/>
      <c r="F390" s="31"/>
      <c r="G390" s="154"/>
    </row>
    <row r="391" spans="1:7" ht="15.75" customHeight="1">
      <c r="A391" s="153"/>
      <c r="B391" s="31"/>
      <c r="C391" s="31"/>
      <c r="D391" s="31"/>
      <c r="E391" s="31"/>
      <c r="F391" s="31"/>
      <c r="G391" s="154"/>
    </row>
    <row r="392" spans="1:7" ht="15.75" customHeight="1">
      <c r="A392" s="153"/>
      <c r="B392" s="31"/>
      <c r="C392" s="31"/>
      <c r="D392" s="31"/>
      <c r="E392" s="31"/>
      <c r="F392" s="31"/>
      <c r="G392" s="154"/>
    </row>
    <row r="393" spans="1:7" ht="15.75" customHeight="1">
      <c r="A393" s="153"/>
      <c r="B393" s="31"/>
      <c r="C393" s="31"/>
      <c r="D393" s="31"/>
      <c r="E393" s="31"/>
      <c r="F393" s="31"/>
      <c r="G393" s="154"/>
    </row>
    <row r="394" spans="1:7" ht="15.75" customHeight="1">
      <c r="A394" s="153"/>
      <c r="B394" s="31"/>
      <c r="C394" s="31"/>
      <c r="D394" s="31"/>
      <c r="E394" s="31"/>
      <c r="F394" s="31"/>
      <c r="G394" s="154"/>
    </row>
    <row r="395" spans="1:7" ht="15.75" customHeight="1">
      <c r="A395" s="153"/>
      <c r="B395" s="31"/>
      <c r="C395" s="31"/>
      <c r="D395" s="31"/>
      <c r="E395" s="31"/>
      <c r="F395" s="31"/>
      <c r="G395" s="154"/>
    </row>
    <row r="396" spans="1:7" ht="15.75" customHeight="1">
      <c r="A396" s="153"/>
      <c r="B396" s="31"/>
      <c r="C396" s="31"/>
      <c r="D396" s="31"/>
      <c r="E396" s="31"/>
      <c r="F396" s="31"/>
      <c r="G396" s="154"/>
    </row>
    <row r="397" spans="1:7" ht="15.75" customHeight="1">
      <c r="A397" s="153"/>
      <c r="B397" s="31"/>
      <c r="C397" s="31"/>
      <c r="D397" s="31"/>
      <c r="E397" s="31"/>
      <c r="F397" s="31"/>
      <c r="G397" s="154"/>
    </row>
    <row r="398" spans="1:7" ht="15.75" customHeight="1">
      <c r="A398" s="153"/>
      <c r="B398" s="31"/>
      <c r="C398" s="31"/>
      <c r="D398" s="31"/>
      <c r="E398" s="31"/>
      <c r="F398" s="31"/>
      <c r="G398" s="154"/>
    </row>
    <row r="399" spans="1:7" ht="15.75" customHeight="1">
      <c r="A399" s="153"/>
      <c r="B399" s="31"/>
      <c r="C399" s="31"/>
      <c r="D399" s="31"/>
      <c r="E399" s="31"/>
      <c r="F399" s="31"/>
      <c r="G399" s="154"/>
    </row>
    <row r="400" spans="1:7" ht="15.75" customHeight="1">
      <c r="A400" s="153"/>
      <c r="B400" s="31"/>
      <c r="C400" s="31"/>
      <c r="D400" s="31"/>
      <c r="E400" s="31"/>
      <c r="F400" s="31"/>
      <c r="G400" s="154"/>
    </row>
    <row r="401" spans="1:7" ht="15.75" customHeight="1">
      <c r="A401" s="153"/>
      <c r="B401" s="31"/>
      <c r="C401" s="31"/>
      <c r="D401" s="31"/>
      <c r="E401" s="31"/>
      <c r="F401" s="31"/>
      <c r="G401" s="154"/>
    </row>
    <row r="402" spans="1:7" ht="15.75" customHeight="1">
      <c r="A402" s="153"/>
      <c r="B402" s="31"/>
      <c r="C402" s="31"/>
      <c r="D402" s="31"/>
      <c r="E402" s="31"/>
      <c r="F402" s="31"/>
      <c r="G402" s="154"/>
    </row>
    <row r="403" spans="1:7" ht="15.75" customHeight="1">
      <c r="A403" s="153"/>
      <c r="B403" s="31"/>
      <c r="C403" s="31"/>
      <c r="D403" s="31"/>
      <c r="E403" s="31"/>
      <c r="F403" s="31"/>
      <c r="G403" s="154"/>
    </row>
    <row r="404" spans="1:7" ht="15.75" customHeight="1">
      <c r="A404" s="153"/>
      <c r="B404" s="31"/>
      <c r="C404" s="31"/>
      <c r="D404" s="31"/>
      <c r="E404" s="31"/>
      <c r="F404" s="31"/>
      <c r="G404" s="154"/>
    </row>
    <row r="405" spans="1:7" ht="15.75" customHeight="1">
      <c r="A405" s="153"/>
      <c r="B405" s="31"/>
      <c r="C405" s="31"/>
      <c r="D405" s="31"/>
      <c r="E405" s="31"/>
      <c r="F405" s="31"/>
      <c r="G405" s="154"/>
    </row>
    <row r="406" spans="1:7" ht="15.75" customHeight="1">
      <c r="A406" s="153"/>
      <c r="B406" s="31"/>
      <c r="C406" s="31"/>
      <c r="D406" s="31"/>
      <c r="E406" s="31"/>
      <c r="F406" s="31"/>
      <c r="G406" s="154"/>
    </row>
    <row r="407" spans="1:7" ht="15.75" customHeight="1">
      <c r="A407" s="153"/>
      <c r="B407" s="31"/>
      <c r="C407" s="31"/>
      <c r="D407" s="31"/>
      <c r="E407" s="31"/>
      <c r="F407" s="31"/>
      <c r="G407" s="154"/>
    </row>
    <row r="408" spans="1:7" ht="15.75" customHeight="1">
      <c r="A408" s="153"/>
      <c r="B408" s="31"/>
      <c r="C408" s="31"/>
      <c r="D408" s="31"/>
      <c r="E408" s="31"/>
      <c r="F408" s="31"/>
      <c r="G408" s="154"/>
    </row>
    <row r="409" spans="1:7" ht="15.75" customHeight="1">
      <c r="A409" s="153"/>
      <c r="B409" s="31"/>
      <c r="C409" s="31"/>
      <c r="D409" s="31"/>
      <c r="E409" s="31"/>
      <c r="F409" s="31"/>
      <c r="G409" s="154"/>
    </row>
    <row r="410" spans="1:7" ht="15.75" customHeight="1">
      <c r="A410" s="153"/>
      <c r="B410" s="31"/>
      <c r="C410" s="31"/>
      <c r="D410" s="31"/>
      <c r="E410" s="31"/>
      <c r="F410" s="31"/>
      <c r="G410" s="154"/>
    </row>
    <row r="411" spans="1:7" ht="15.75" customHeight="1">
      <c r="A411" s="153"/>
      <c r="B411" s="31"/>
      <c r="C411" s="31"/>
      <c r="D411" s="31"/>
      <c r="E411" s="31"/>
      <c r="F411" s="31"/>
      <c r="G411" s="154"/>
    </row>
    <row r="412" spans="1:7" ht="15.75" customHeight="1">
      <c r="A412" s="153"/>
      <c r="B412" s="31"/>
      <c r="C412" s="31"/>
      <c r="D412" s="31"/>
      <c r="E412" s="31"/>
      <c r="F412" s="31"/>
      <c r="G412" s="154"/>
    </row>
    <row r="413" spans="1:7" ht="15.75" customHeight="1">
      <c r="A413" s="153"/>
      <c r="B413" s="31"/>
      <c r="C413" s="31"/>
      <c r="D413" s="31"/>
      <c r="E413" s="31"/>
      <c r="F413" s="31"/>
      <c r="G413" s="154"/>
    </row>
    <row r="414" spans="1:7" ht="15.75" customHeight="1">
      <c r="A414" s="153"/>
      <c r="B414" s="31"/>
      <c r="C414" s="31"/>
      <c r="D414" s="31"/>
      <c r="E414" s="31"/>
      <c r="F414" s="31"/>
      <c r="G414" s="154"/>
    </row>
    <row r="415" spans="1:7" ht="15.75" customHeight="1">
      <c r="A415" s="153"/>
      <c r="B415" s="31"/>
      <c r="C415" s="31"/>
      <c r="D415" s="31"/>
      <c r="E415" s="31"/>
      <c r="F415" s="31"/>
      <c r="G415" s="154"/>
    </row>
    <row r="416" spans="1:7" ht="15.75" customHeight="1">
      <c r="A416" s="153"/>
      <c r="B416" s="31"/>
      <c r="C416" s="31"/>
      <c r="D416" s="31"/>
      <c r="E416" s="31"/>
      <c r="F416" s="31"/>
      <c r="G416" s="154"/>
    </row>
    <row r="417" spans="1:7" ht="15.75" customHeight="1">
      <c r="A417" s="153"/>
      <c r="B417" s="31"/>
      <c r="C417" s="31"/>
      <c r="D417" s="31"/>
      <c r="E417" s="31"/>
      <c r="F417" s="31"/>
      <c r="G417" s="154"/>
    </row>
    <row r="418" spans="1:7" ht="15.75" customHeight="1">
      <c r="A418" s="153"/>
      <c r="B418" s="31"/>
      <c r="C418" s="31"/>
      <c r="D418" s="31"/>
      <c r="E418" s="31"/>
      <c r="F418" s="31"/>
      <c r="G418" s="154"/>
    </row>
    <row r="419" spans="1:7" ht="15.75" customHeight="1">
      <c r="A419" s="153"/>
      <c r="B419" s="31"/>
      <c r="C419" s="31"/>
      <c r="D419" s="31"/>
      <c r="E419" s="31"/>
      <c r="F419" s="31"/>
      <c r="G419" s="154"/>
    </row>
    <row r="420" spans="1:7" ht="15.75" customHeight="1">
      <c r="A420" s="153"/>
      <c r="B420" s="31"/>
      <c r="C420" s="31"/>
      <c r="D420" s="31"/>
      <c r="E420" s="31"/>
      <c r="F420" s="31"/>
      <c r="G420" s="154"/>
    </row>
    <row r="421" spans="1:7" ht="15.75" customHeight="1">
      <c r="A421" s="153"/>
      <c r="B421" s="31"/>
      <c r="C421" s="31"/>
      <c r="D421" s="31"/>
      <c r="E421" s="31"/>
      <c r="F421" s="31"/>
      <c r="G421" s="154"/>
    </row>
    <row r="422" spans="1:7" ht="15.75" customHeight="1">
      <c r="A422" s="153"/>
      <c r="B422" s="31"/>
      <c r="C422" s="31"/>
      <c r="D422" s="31"/>
      <c r="E422" s="31"/>
      <c r="F422" s="31"/>
      <c r="G422" s="154"/>
    </row>
    <row r="423" spans="1:7" ht="15.75" customHeight="1">
      <c r="A423" s="153"/>
      <c r="B423" s="31"/>
      <c r="C423" s="31"/>
      <c r="D423" s="31"/>
      <c r="E423" s="31"/>
      <c r="F423" s="31"/>
      <c r="G423" s="154"/>
    </row>
    <row r="424" spans="1:7" ht="15.75" customHeight="1">
      <c r="A424" s="153"/>
      <c r="B424" s="31"/>
      <c r="C424" s="31"/>
      <c r="D424" s="31"/>
      <c r="E424" s="31"/>
      <c r="F424" s="31"/>
      <c r="G424" s="154"/>
    </row>
    <row r="425" spans="1:7" ht="15.75" customHeight="1">
      <c r="A425" s="153"/>
      <c r="B425" s="31"/>
      <c r="C425" s="31"/>
      <c r="D425" s="31"/>
      <c r="E425" s="31"/>
      <c r="F425" s="31"/>
      <c r="G425" s="154"/>
    </row>
    <row r="426" spans="1:7" ht="15.75" customHeight="1">
      <c r="A426" s="153"/>
      <c r="B426" s="31"/>
      <c r="C426" s="31"/>
      <c r="D426" s="31"/>
      <c r="E426" s="31"/>
      <c r="F426" s="31"/>
      <c r="G426" s="154"/>
    </row>
    <row r="427" spans="1:7" ht="15.75" customHeight="1">
      <c r="A427" s="153"/>
      <c r="B427" s="31"/>
      <c r="C427" s="31"/>
      <c r="D427" s="31"/>
      <c r="E427" s="31"/>
      <c r="F427" s="31"/>
      <c r="G427" s="154"/>
    </row>
    <row r="428" spans="1:7" ht="15.75" customHeight="1">
      <c r="A428" s="153"/>
      <c r="B428" s="31"/>
      <c r="C428" s="31"/>
      <c r="D428" s="31"/>
      <c r="E428" s="31"/>
      <c r="F428" s="31"/>
      <c r="G428" s="154"/>
    </row>
    <row r="429" spans="1:7" ht="15.75" customHeight="1">
      <c r="A429" s="153"/>
      <c r="B429" s="31"/>
      <c r="C429" s="31"/>
      <c r="D429" s="31"/>
      <c r="E429" s="31"/>
      <c r="F429" s="31"/>
      <c r="G429" s="154"/>
    </row>
    <row r="430" spans="1:7" ht="15.75" customHeight="1">
      <c r="A430" s="153"/>
      <c r="B430" s="31"/>
      <c r="C430" s="31"/>
      <c r="D430" s="31"/>
      <c r="E430" s="31"/>
      <c r="F430" s="31"/>
      <c r="G430" s="154"/>
    </row>
    <row r="431" spans="1:7" ht="15.75" customHeight="1">
      <c r="A431" s="153"/>
      <c r="B431" s="31"/>
      <c r="C431" s="31"/>
      <c r="D431" s="31"/>
      <c r="E431" s="31"/>
      <c r="F431" s="31"/>
      <c r="G431" s="154"/>
    </row>
    <row r="432" spans="1:7" ht="15.75" customHeight="1">
      <c r="A432" s="153"/>
      <c r="B432" s="31"/>
      <c r="C432" s="31"/>
      <c r="D432" s="31"/>
      <c r="E432" s="31"/>
      <c r="F432" s="31"/>
      <c r="G432" s="154"/>
    </row>
    <row r="433" spans="1:7" ht="15.75" customHeight="1">
      <c r="A433" s="153"/>
      <c r="B433" s="31"/>
      <c r="C433" s="31"/>
      <c r="D433" s="31"/>
      <c r="E433" s="31"/>
      <c r="F433" s="31"/>
      <c r="G433" s="154"/>
    </row>
    <row r="434" spans="1:7" ht="15.75" customHeight="1">
      <c r="A434" s="153"/>
      <c r="B434" s="31"/>
      <c r="C434" s="31"/>
      <c r="D434" s="31"/>
      <c r="E434" s="31"/>
      <c r="F434" s="31"/>
      <c r="G434" s="154"/>
    </row>
    <row r="435" spans="1:7" ht="15.75" customHeight="1">
      <c r="A435" s="153"/>
      <c r="B435" s="31"/>
      <c r="C435" s="31"/>
      <c r="D435" s="31"/>
      <c r="E435" s="31"/>
      <c r="F435" s="31"/>
      <c r="G435" s="154"/>
    </row>
    <row r="436" spans="1:7" ht="15.75" customHeight="1">
      <c r="A436" s="153"/>
      <c r="B436" s="31"/>
      <c r="C436" s="31"/>
      <c r="D436" s="31"/>
      <c r="E436" s="31"/>
      <c r="F436" s="31"/>
      <c r="G436" s="154"/>
    </row>
    <row r="437" spans="1:7" ht="15.75" customHeight="1">
      <c r="A437" s="153"/>
      <c r="B437" s="31"/>
      <c r="C437" s="31"/>
      <c r="D437" s="31"/>
      <c r="E437" s="31"/>
      <c r="F437" s="31"/>
      <c r="G437" s="154"/>
    </row>
    <row r="438" spans="1:7" ht="15.75" customHeight="1">
      <c r="A438" s="153"/>
      <c r="B438" s="31"/>
      <c r="C438" s="31"/>
      <c r="D438" s="31"/>
      <c r="E438" s="31"/>
      <c r="F438" s="31"/>
      <c r="G438" s="154"/>
    </row>
    <row r="439" spans="1:7" ht="15.75" customHeight="1">
      <c r="A439" s="153"/>
      <c r="B439" s="31"/>
      <c r="C439" s="31"/>
      <c r="D439" s="31"/>
      <c r="E439" s="31"/>
      <c r="F439" s="31"/>
      <c r="G439" s="154"/>
    </row>
    <row r="440" spans="1:7" ht="15.75" customHeight="1">
      <c r="A440" s="153"/>
      <c r="B440" s="31"/>
      <c r="C440" s="31"/>
      <c r="D440" s="31"/>
      <c r="E440" s="31"/>
      <c r="F440" s="31"/>
      <c r="G440" s="154"/>
    </row>
    <row r="441" spans="1:7" ht="15.75" customHeight="1">
      <c r="A441" s="153"/>
      <c r="B441" s="31"/>
      <c r="C441" s="31"/>
      <c r="D441" s="31"/>
      <c r="E441" s="31"/>
      <c r="F441" s="31"/>
      <c r="G441" s="154"/>
    </row>
    <row r="442" spans="1:7" ht="15.75" customHeight="1">
      <c r="A442" s="153"/>
      <c r="B442" s="31"/>
      <c r="C442" s="31"/>
      <c r="D442" s="31"/>
      <c r="E442" s="31"/>
      <c r="F442" s="31"/>
      <c r="G442" s="154"/>
    </row>
    <row r="443" spans="1:7" ht="15.75" customHeight="1">
      <c r="A443" s="153"/>
      <c r="B443" s="31"/>
      <c r="C443" s="31"/>
      <c r="D443" s="31"/>
      <c r="E443" s="31"/>
      <c r="F443" s="31"/>
      <c r="G443" s="154"/>
    </row>
    <row r="444" spans="1:7" ht="15.75" customHeight="1">
      <c r="A444" s="153"/>
      <c r="B444" s="31"/>
      <c r="C444" s="31"/>
      <c r="D444" s="31"/>
      <c r="E444" s="31"/>
      <c r="F444" s="31"/>
      <c r="G444" s="154"/>
    </row>
    <row r="445" spans="1:7" ht="15.75" customHeight="1">
      <c r="A445" s="153"/>
      <c r="B445" s="31"/>
      <c r="C445" s="31"/>
      <c r="D445" s="31"/>
      <c r="E445" s="31"/>
      <c r="F445" s="31"/>
      <c r="G445" s="154"/>
    </row>
    <row r="446" spans="1:7" ht="15.75" customHeight="1">
      <c r="A446" s="153"/>
      <c r="B446" s="31"/>
      <c r="C446" s="31"/>
      <c r="D446" s="31"/>
      <c r="E446" s="31"/>
      <c r="F446" s="31"/>
      <c r="G446" s="154"/>
    </row>
    <row r="447" spans="1:7" ht="15.75" customHeight="1">
      <c r="A447" s="153"/>
      <c r="B447" s="31"/>
      <c r="C447" s="31"/>
      <c r="D447" s="31"/>
      <c r="E447" s="31"/>
      <c r="F447" s="31"/>
      <c r="G447" s="154"/>
    </row>
    <row r="448" spans="1:7" ht="15.75" customHeight="1">
      <c r="A448" s="153"/>
      <c r="B448" s="31"/>
      <c r="C448" s="31"/>
      <c r="D448" s="31"/>
      <c r="E448" s="31"/>
      <c r="F448" s="31"/>
      <c r="G448" s="154"/>
    </row>
    <row r="449" spans="1:7" ht="15.75" customHeight="1">
      <c r="A449" s="153"/>
      <c r="B449" s="31"/>
      <c r="C449" s="31"/>
      <c r="D449" s="31"/>
      <c r="E449" s="31"/>
      <c r="F449" s="31"/>
      <c r="G449" s="154"/>
    </row>
    <row r="450" spans="1:7" ht="15.75" customHeight="1">
      <c r="A450" s="153"/>
      <c r="B450" s="31"/>
      <c r="C450" s="31"/>
      <c r="D450" s="31"/>
      <c r="E450" s="31"/>
      <c r="F450" s="31"/>
      <c r="G450" s="154"/>
    </row>
    <row r="451" spans="1:7" ht="15.75" customHeight="1">
      <c r="A451" s="153"/>
      <c r="B451" s="31"/>
      <c r="C451" s="31"/>
      <c r="D451" s="31"/>
      <c r="E451" s="31"/>
      <c r="F451" s="31"/>
      <c r="G451" s="154"/>
    </row>
    <row r="452" spans="1:7" ht="15.75" customHeight="1">
      <c r="A452" s="153"/>
      <c r="B452" s="31"/>
      <c r="C452" s="31"/>
      <c r="D452" s="31"/>
      <c r="E452" s="31"/>
      <c r="F452" s="31"/>
      <c r="G452" s="154"/>
    </row>
    <row r="453" spans="1:7" ht="15.75" customHeight="1">
      <c r="A453" s="153"/>
      <c r="B453" s="31"/>
      <c r="C453" s="31"/>
      <c r="D453" s="31"/>
      <c r="E453" s="31"/>
      <c r="F453" s="31"/>
      <c r="G453" s="154"/>
    </row>
    <row r="454" spans="1:7" ht="15.75" customHeight="1">
      <c r="A454" s="153"/>
      <c r="B454" s="31"/>
      <c r="C454" s="31"/>
      <c r="D454" s="31"/>
      <c r="E454" s="31"/>
      <c r="F454" s="31"/>
      <c r="G454" s="154"/>
    </row>
    <row r="455" spans="1:7" ht="15.75" customHeight="1">
      <c r="A455" s="153"/>
      <c r="B455" s="31"/>
      <c r="C455" s="31"/>
      <c r="D455" s="31"/>
      <c r="E455" s="31"/>
      <c r="F455" s="31"/>
      <c r="G455" s="154"/>
    </row>
    <row r="456" spans="1:7" ht="15.75" customHeight="1">
      <c r="A456" s="153"/>
      <c r="B456" s="31"/>
      <c r="C456" s="31"/>
      <c r="D456" s="31"/>
      <c r="E456" s="31"/>
      <c r="F456" s="31"/>
      <c r="G456" s="154"/>
    </row>
    <row r="457" spans="1:7" ht="15.75" customHeight="1">
      <c r="A457" s="153"/>
      <c r="B457" s="31"/>
      <c r="C457" s="31"/>
      <c r="D457" s="31"/>
      <c r="E457" s="31"/>
      <c r="F457" s="31"/>
      <c r="G457" s="154"/>
    </row>
    <row r="458" spans="1:7" ht="15.75" customHeight="1">
      <c r="A458" s="153"/>
      <c r="B458" s="31"/>
      <c r="C458" s="31"/>
      <c r="D458" s="31"/>
      <c r="E458" s="31"/>
      <c r="F458" s="31"/>
      <c r="G458" s="154"/>
    </row>
    <row r="459" spans="1:7" ht="15.75" customHeight="1">
      <c r="A459" s="153"/>
      <c r="B459" s="31"/>
      <c r="C459" s="31"/>
      <c r="D459" s="31"/>
      <c r="E459" s="31"/>
      <c r="F459" s="31"/>
      <c r="G459" s="154"/>
    </row>
    <row r="460" spans="1:7" ht="15.75" customHeight="1">
      <c r="A460" s="153"/>
      <c r="B460" s="31"/>
      <c r="C460" s="31"/>
      <c r="D460" s="31"/>
      <c r="E460" s="31"/>
      <c r="F460" s="31"/>
      <c r="G460" s="154"/>
    </row>
    <row r="461" spans="1:7" ht="15.75" customHeight="1">
      <c r="A461" s="153"/>
      <c r="B461" s="31"/>
      <c r="C461" s="31"/>
      <c r="D461" s="31"/>
      <c r="E461" s="31"/>
      <c r="F461" s="31"/>
      <c r="G461" s="154"/>
    </row>
    <row r="462" spans="1:7" ht="15.75" customHeight="1">
      <c r="A462" s="153"/>
      <c r="B462" s="31"/>
      <c r="C462" s="31"/>
      <c r="D462" s="31"/>
      <c r="E462" s="31"/>
      <c r="F462" s="31"/>
      <c r="G462" s="154"/>
    </row>
    <row r="463" spans="1:7" ht="15.75" customHeight="1">
      <c r="A463" s="153"/>
      <c r="B463" s="31"/>
      <c r="C463" s="31"/>
      <c r="D463" s="31"/>
      <c r="E463" s="31"/>
      <c r="F463" s="31"/>
      <c r="G463" s="154"/>
    </row>
    <row r="464" spans="1:7" ht="15.75" customHeight="1">
      <c r="A464" s="153"/>
      <c r="B464" s="31"/>
      <c r="C464" s="31"/>
      <c r="D464" s="31"/>
      <c r="E464" s="31"/>
      <c r="F464" s="31"/>
      <c r="G464" s="154"/>
    </row>
    <row r="465" spans="1:7" ht="15.75" customHeight="1">
      <c r="A465" s="153"/>
      <c r="B465" s="31"/>
      <c r="C465" s="31"/>
      <c r="D465" s="31"/>
      <c r="E465" s="31"/>
      <c r="F465" s="31"/>
      <c r="G465" s="154"/>
    </row>
    <row r="466" spans="1:7" ht="15.75" customHeight="1">
      <c r="A466" s="153"/>
      <c r="B466" s="31"/>
      <c r="C466" s="31"/>
      <c r="D466" s="31"/>
      <c r="E466" s="31"/>
      <c r="F466" s="31"/>
      <c r="G466" s="154"/>
    </row>
    <row r="467" spans="1:7" ht="15.75" customHeight="1">
      <c r="A467" s="153"/>
      <c r="B467" s="31"/>
      <c r="C467" s="31"/>
      <c r="D467" s="31"/>
      <c r="E467" s="31"/>
      <c r="F467" s="31"/>
      <c r="G467" s="154"/>
    </row>
    <row r="468" spans="1:7" ht="15.75" customHeight="1">
      <c r="A468" s="153"/>
      <c r="B468" s="31"/>
      <c r="C468" s="31"/>
      <c r="D468" s="31"/>
      <c r="E468" s="31"/>
      <c r="F468" s="31"/>
      <c r="G468" s="154"/>
    </row>
    <row r="469" spans="1:7" ht="15.75" customHeight="1">
      <c r="A469" s="153"/>
      <c r="B469" s="31"/>
      <c r="C469" s="31"/>
      <c r="D469" s="31"/>
      <c r="E469" s="31"/>
      <c r="F469" s="31"/>
      <c r="G469" s="154"/>
    </row>
    <row r="470" spans="1:7" ht="15.75" customHeight="1">
      <c r="A470" s="153"/>
      <c r="B470" s="31"/>
      <c r="C470" s="31"/>
      <c r="D470" s="31"/>
      <c r="E470" s="31"/>
      <c r="F470" s="31"/>
      <c r="G470" s="154"/>
    </row>
    <row r="471" spans="1:7" ht="15.75" customHeight="1">
      <c r="A471" s="153"/>
      <c r="B471" s="31"/>
      <c r="C471" s="31"/>
      <c r="D471" s="31"/>
      <c r="E471" s="31"/>
      <c r="F471" s="31"/>
      <c r="G471" s="154"/>
    </row>
    <row r="472" spans="1:7" ht="15.75" customHeight="1">
      <c r="A472" s="153"/>
      <c r="B472" s="31"/>
      <c r="C472" s="31"/>
      <c r="D472" s="31"/>
      <c r="E472" s="31"/>
      <c r="F472" s="31"/>
      <c r="G472" s="154"/>
    </row>
    <row r="473" spans="1:7" ht="15.75" customHeight="1">
      <c r="A473" s="153"/>
      <c r="B473" s="31"/>
      <c r="C473" s="31"/>
      <c r="D473" s="31"/>
      <c r="E473" s="31"/>
      <c r="F473" s="31"/>
      <c r="G473" s="154"/>
    </row>
    <row r="474" spans="1:7" ht="15.75" customHeight="1">
      <c r="A474" s="153"/>
      <c r="B474" s="31"/>
      <c r="C474" s="31"/>
      <c r="D474" s="31"/>
      <c r="E474" s="31"/>
      <c r="F474" s="31"/>
      <c r="G474" s="154"/>
    </row>
    <row r="475" spans="1:7" ht="15.75" customHeight="1">
      <c r="A475" s="153"/>
      <c r="B475" s="31"/>
      <c r="C475" s="31"/>
      <c r="D475" s="31"/>
      <c r="E475" s="31"/>
      <c r="F475" s="31"/>
      <c r="G475" s="154"/>
    </row>
    <row r="476" spans="1:7" ht="15.75" customHeight="1">
      <c r="A476" s="153"/>
      <c r="B476" s="31"/>
      <c r="C476" s="31"/>
      <c r="D476" s="31"/>
      <c r="E476" s="31"/>
      <c r="F476" s="31"/>
      <c r="G476" s="154"/>
    </row>
    <row r="477" spans="1:7" ht="15.75" customHeight="1">
      <c r="A477" s="153"/>
      <c r="B477" s="31"/>
      <c r="C477" s="31"/>
      <c r="D477" s="31"/>
      <c r="E477" s="31"/>
      <c r="F477" s="31"/>
      <c r="G477" s="154"/>
    </row>
    <row r="478" spans="1:7" ht="15.75" customHeight="1">
      <c r="A478" s="153"/>
      <c r="B478" s="31"/>
      <c r="C478" s="31"/>
      <c r="D478" s="31"/>
      <c r="E478" s="31"/>
      <c r="F478" s="31"/>
      <c r="G478" s="154"/>
    </row>
    <row r="479" spans="1:7" ht="15.75" customHeight="1">
      <c r="A479" s="153"/>
      <c r="B479" s="31"/>
      <c r="C479" s="31"/>
      <c r="D479" s="31"/>
      <c r="E479" s="31"/>
      <c r="F479" s="31"/>
      <c r="G479" s="154"/>
    </row>
    <row r="480" spans="1:7" ht="15.75" customHeight="1">
      <c r="A480" s="153"/>
      <c r="B480" s="31"/>
      <c r="C480" s="31"/>
      <c r="D480" s="31"/>
      <c r="E480" s="31"/>
      <c r="F480" s="31"/>
      <c r="G480" s="154"/>
    </row>
    <row r="481" spans="1:7" ht="15.75" customHeight="1">
      <c r="A481" s="153"/>
      <c r="B481" s="31"/>
      <c r="C481" s="31"/>
      <c r="D481" s="31"/>
      <c r="E481" s="31"/>
      <c r="F481" s="31"/>
      <c r="G481" s="154"/>
    </row>
    <row r="482" spans="1:7" ht="15.75" customHeight="1">
      <c r="A482" s="153"/>
      <c r="B482" s="31"/>
      <c r="C482" s="31"/>
      <c r="D482" s="31"/>
      <c r="E482" s="31"/>
      <c r="F482" s="31"/>
      <c r="G482" s="154"/>
    </row>
    <row r="483" spans="1:7" ht="15.75" customHeight="1">
      <c r="A483" s="153"/>
      <c r="B483" s="31"/>
      <c r="C483" s="31"/>
      <c r="D483" s="31"/>
      <c r="E483" s="31"/>
      <c r="F483" s="31"/>
      <c r="G483" s="154"/>
    </row>
    <row r="484" spans="1:7" ht="15.75" customHeight="1">
      <c r="A484" s="153"/>
      <c r="B484" s="31"/>
      <c r="C484" s="31"/>
      <c r="D484" s="31"/>
      <c r="E484" s="31"/>
      <c r="F484" s="31"/>
      <c r="G484" s="154"/>
    </row>
    <row r="485" spans="1:7" ht="15.75" customHeight="1">
      <c r="A485" s="153"/>
      <c r="B485" s="31"/>
      <c r="C485" s="31"/>
      <c r="D485" s="31"/>
      <c r="E485" s="31"/>
      <c r="F485" s="31"/>
      <c r="G485" s="154"/>
    </row>
    <row r="486" spans="1:7" ht="15.75" customHeight="1">
      <c r="A486" s="153"/>
      <c r="B486" s="31"/>
      <c r="C486" s="31"/>
      <c r="D486" s="31"/>
      <c r="E486" s="31"/>
      <c r="F486" s="31"/>
      <c r="G486" s="154"/>
    </row>
    <row r="487" spans="1:7" ht="15.75" customHeight="1">
      <c r="A487" s="153"/>
      <c r="B487" s="31"/>
      <c r="C487" s="31"/>
      <c r="D487" s="31"/>
      <c r="E487" s="31"/>
      <c r="F487" s="31"/>
      <c r="G487" s="154"/>
    </row>
    <row r="488" spans="1:7" ht="15.75" customHeight="1">
      <c r="A488" s="153"/>
      <c r="B488" s="31"/>
      <c r="C488" s="31"/>
      <c r="D488" s="31"/>
      <c r="E488" s="31"/>
      <c r="F488" s="31"/>
      <c r="G488" s="154"/>
    </row>
    <row r="489" spans="1:7" ht="15.75" customHeight="1">
      <c r="A489" s="153"/>
      <c r="B489" s="31"/>
      <c r="C489" s="31"/>
      <c r="D489" s="31"/>
      <c r="E489" s="31"/>
      <c r="F489" s="31"/>
      <c r="G489" s="154"/>
    </row>
    <row r="490" spans="1:7" ht="15.75" customHeight="1">
      <c r="A490" s="153"/>
      <c r="B490" s="31"/>
      <c r="C490" s="31"/>
      <c r="D490" s="31"/>
      <c r="E490" s="31"/>
      <c r="F490" s="31"/>
      <c r="G490" s="154"/>
    </row>
    <row r="491" spans="1:7" ht="15.75" customHeight="1">
      <c r="A491" s="153"/>
      <c r="B491" s="31"/>
      <c r="C491" s="31"/>
      <c r="D491" s="31"/>
      <c r="E491" s="31"/>
      <c r="F491" s="31"/>
      <c r="G491" s="154"/>
    </row>
    <row r="492" spans="1:7" ht="15.75" customHeight="1">
      <c r="A492" s="153"/>
      <c r="B492" s="31"/>
      <c r="C492" s="31"/>
      <c r="D492" s="31"/>
      <c r="E492" s="31"/>
      <c r="F492" s="31"/>
      <c r="G492" s="154"/>
    </row>
    <row r="493" spans="1:7" ht="15.75" customHeight="1">
      <c r="A493" s="153"/>
      <c r="B493" s="31"/>
      <c r="C493" s="31"/>
      <c r="D493" s="31"/>
      <c r="E493" s="31"/>
      <c r="F493" s="31"/>
      <c r="G493" s="154"/>
    </row>
    <row r="494" spans="1:7" ht="15.75" customHeight="1">
      <c r="A494" s="153"/>
      <c r="B494" s="31"/>
      <c r="C494" s="31"/>
      <c r="D494" s="31"/>
      <c r="E494" s="31"/>
      <c r="F494" s="31"/>
      <c r="G494" s="154"/>
    </row>
    <row r="495" spans="1:7" ht="15.75" customHeight="1">
      <c r="A495" s="153"/>
      <c r="B495" s="31"/>
      <c r="C495" s="31"/>
      <c r="D495" s="31"/>
      <c r="E495" s="31"/>
      <c r="F495" s="31"/>
      <c r="G495" s="154"/>
    </row>
    <row r="496" spans="1:7" ht="15.75" customHeight="1">
      <c r="A496" s="153"/>
      <c r="B496" s="31"/>
      <c r="C496" s="31"/>
      <c r="D496" s="31"/>
      <c r="E496" s="31"/>
      <c r="F496" s="31"/>
      <c r="G496" s="154"/>
    </row>
    <row r="497" spans="1:7" ht="15.75" customHeight="1">
      <c r="A497" s="153"/>
      <c r="B497" s="31"/>
      <c r="C497" s="31"/>
      <c r="D497" s="31"/>
      <c r="E497" s="31"/>
      <c r="F497" s="31"/>
      <c r="G497" s="154"/>
    </row>
    <row r="498" spans="1:7" ht="15.75" customHeight="1">
      <c r="A498" s="153"/>
      <c r="B498" s="31"/>
      <c r="C498" s="31"/>
      <c r="D498" s="31"/>
      <c r="E498" s="31"/>
      <c r="F498" s="31"/>
      <c r="G498" s="154"/>
    </row>
    <row r="499" spans="1:7" ht="15.75" customHeight="1">
      <c r="A499" s="153"/>
      <c r="B499" s="31"/>
      <c r="C499" s="31"/>
      <c r="D499" s="31"/>
      <c r="E499" s="31"/>
      <c r="F499" s="31"/>
      <c r="G499" s="154"/>
    </row>
    <row r="500" spans="1:7" ht="15.75" customHeight="1">
      <c r="A500" s="153"/>
      <c r="B500" s="31"/>
      <c r="C500" s="31"/>
      <c r="D500" s="31"/>
      <c r="E500" s="31"/>
      <c r="F500" s="31"/>
      <c r="G500" s="154"/>
    </row>
    <row r="501" spans="1:7" ht="15.75" customHeight="1">
      <c r="A501" s="153"/>
      <c r="B501" s="31"/>
      <c r="C501" s="31"/>
      <c r="D501" s="31"/>
      <c r="E501" s="31"/>
      <c r="F501" s="31"/>
      <c r="G501" s="154"/>
    </row>
    <row r="502" spans="1:7" ht="15.75" customHeight="1">
      <c r="A502" s="153"/>
      <c r="B502" s="31"/>
      <c r="C502" s="31"/>
      <c r="D502" s="31"/>
      <c r="E502" s="31"/>
      <c r="F502" s="31"/>
      <c r="G502" s="154"/>
    </row>
    <row r="503" spans="1:7" ht="15.75" customHeight="1">
      <c r="A503" s="153"/>
      <c r="B503" s="31"/>
      <c r="C503" s="31"/>
      <c r="D503" s="31"/>
      <c r="E503" s="31"/>
      <c r="F503" s="31"/>
      <c r="G503" s="154"/>
    </row>
    <row r="504" spans="1:7" ht="15.75" customHeight="1">
      <c r="A504" s="153"/>
      <c r="B504" s="31"/>
      <c r="C504" s="31"/>
      <c r="D504" s="31"/>
      <c r="E504" s="31"/>
      <c r="F504" s="31"/>
      <c r="G504" s="154"/>
    </row>
    <row r="505" spans="1:7" ht="15.75" customHeight="1">
      <c r="A505" s="153"/>
      <c r="B505" s="31"/>
      <c r="C505" s="31"/>
      <c r="D505" s="31"/>
      <c r="E505" s="31"/>
      <c r="F505" s="31"/>
      <c r="G505" s="154"/>
    </row>
    <row r="506" spans="1:7" ht="15.75" customHeight="1">
      <c r="A506" s="153"/>
      <c r="B506" s="31"/>
      <c r="C506" s="31"/>
      <c r="D506" s="31"/>
      <c r="E506" s="31"/>
      <c r="F506" s="31"/>
      <c r="G506" s="154"/>
    </row>
    <row r="507" spans="1:7" ht="15.75" customHeight="1">
      <c r="A507" s="153"/>
      <c r="B507" s="31"/>
      <c r="C507" s="31"/>
      <c r="D507" s="31"/>
      <c r="E507" s="31"/>
      <c r="F507" s="31"/>
      <c r="G507" s="154"/>
    </row>
    <row r="508" spans="1:7" ht="15.75" customHeight="1">
      <c r="A508" s="153"/>
      <c r="B508" s="31"/>
      <c r="C508" s="31"/>
      <c r="D508" s="31"/>
      <c r="E508" s="31"/>
      <c r="F508" s="31"/>
      <c r="G508" s="154"/>
    </row>
    <row r="509" spans="1:7" ht="15.75" customHeight="1">
      <c r="A509" s="153"/>
      <c r="B509" s="31"/>
      <c r="C509" s="31"/>
      <c r="D509" s="31"/>
      <c r="E509" s="31"/>
      <c r="F509" s="31"/>
      <c r="G509" s="154"/>
    </row>
    <row r="510" spans="1:7" ht="15.75" customHeight="1">
      <c r="A510" s="153"/>
      <c r="B510" s="31"/>
      <c r="C510" s="31"/>
      <c r="D510" s="31"/>
      <c r="E510" s="31"/>
      <c r="F510" s="31"/>
      <c r="G510" s="154"/>
    </row>
    <row r="511" spans="1:7" ht="15.75" customHeight="1">
      <c r="A511" s="153"/>
      <c r="B511" s="31"/>
      <c r="C511" s="31"/>
      <c r="D511" s="31"/>
      <c r="E511" s="31"/>
      <c r="F511" s="31"/>
      <c r="G511" s="154"/>
    </row>
    <row r="512" spans="1:7" ht="15.75" customHeight="1">
      <c r="A512" s="153"/>
      <c r="B512" s="31"/>
      <c r="C512" s="31"/>
      <c r="D512" s="31"/>
      <c r="E512" s="31"/>
      <c r="F512" s="31"/>
      <c r="G512" s="154"/>
    </row>
    <row r="513" spans="1:7" ht="15.75" customHeight="1">
      <c r="A513" s="153"/>
      <c r="B513" s="31"/>
      <c r="C513" s="31"/>
      <c r="D513" s="31"/>
      <c r="E513" s="31"/>
      <c r="F513" s="31"/>
      <c r="G513" s="154"/>
    </row>
    <row r="514" spans="1:7" ht="15.75" customHeight="1">
      <c r="A514" s="153"/>
      <c r="B514" s="31"/>
      <c r="C514" s="31"/>
      <c r="D514" s="31"/>
      <c r="E514" s="31"/>
      <c r="F514" s="31"/>
      <c r="G514" s="154"/>
    </row>
    <row r="515" spans="1:7" ht="15.75" customHeight="1">
      <c r="A515" s="153"/>
      <c r="B515" s="31"/>
      <c r="C515" s="31"/>
      <c r="D515" s="31"/>
      <c r="E515" s="31"/>
      <c r="F515" s="31"/>
      <c r="G515" s="154"/>
    </row>
    <row r="516" spans="1:7" ht="15.75" customHeight="1">
      <c r="A516" s="153"/>
      <c r="B516" s="31"/>
      <c r="C516" s="31"/>
      <c r="D516" s="31"/>
      <c r="E516" s="31"/>
      <c r="F516" s="31"/>
      <c r="G516" s="154"/>
    </row>
    <row r="517" spans="1:7" ht="15.75" customHeight="1">
      <c r="A517" s="153"/>
      <c r="B517" s="31"/>
      <c r="C517" s="31"/>
      <c r="D517" s="31"/>
      <c r="E517" s="31"/>
      <c r="F517" s="31"/>
      <c r="G517" s="154"/>
    </row>
    <row r="518" spans="1:7" ht="15.75" customHeight="1">
      <c r="A518" s="153"/>
      <c r="B518" s="31"/>
      <c r="C518" s="31"/>
      <c r="D518" s="31"/>
      <c r="E518" s="31"/>
      <c r="F518" s="31"/>
      <c r="G518" s="154"/>
    </row>
    <row r="519" spans="1:7" ht="15.75" customHeight="1">
      <c r="A519" s="153"/>
      <c r="B519" s="31"/>
      <c r="C519" s="31"/>
      <c r="D519" s="31"/>
      <c r="E519" s="31"/>
      <c r="F519" s="31"/>
      <c r="G519" s="154"/>
    </row>
    <row r="520" spans="1:7" ht="15.75" customHeight="1">
      <c r="A520" s="153"/>
      <c r="B520" s="31"/>
      <c r="C520" s="31"/>
      <c r="D520" s="31"/>
      <c r="E520" s="31"/>
      <c r="F520" s="31"/>
      <c r="G520" s="154"/>
    </row>
    <row r="521" spans="1:7" ht="15.75" customHeight="1">
      <c r="A521" s="153"/>
      <c r="B521" s="31"/>
      <c r="C521" s="31"/>
      <c r="D521" s="31"/>
      <c r="E521" s="31"/>
      <c r="F521" s="31"/>
      <c r="G521" s="154"/>
    </row>
    <row r="522" spans="1:7" ht="15.75" customHeight="1">
      <c r="A522" s="153"/>
      <c r="B522" s="31"/>
      <c r="C522" s="31"/>
      <c r="D522" s="31"/>
      <c r="E522" s="31"/>
      <c r="F522" s="31"/>
      <c r="G522" s="154"/>
    </row>
    <row r="523" spans="1:7" ht="15.75" customHeight="1">
      <c r="A523" s="153"/>
      <c r="B523" s="31"/>
      <c r="C523" s="31"/>
      <c r="D523" s="31"/>
      <c r="E523" s="31"/>
      <c r="F523" s="31"/>
      <c r="G523" s="154"/>
    </row>
    <row r="524" spans="1:7" ht="15.75" customHeight="1">
      <c r="A524" s="153"/>
      <c r="B524" s="31"/>
      <c r="C524" s="31"/>
      <c r="D524" s="31"/>
      <c r="E524" s="31"/>
      <c r="F524" s="31"/>
      <c r="G524" s="154"/>
    </row>
    <row r="525" spans="1:7" ht="15.75" customHeight="1">
      <c r="A525" s="153"/>
      <c r="B525" s="31"/>
      <c r="C525" s="31"/>
      <c r="D525" s="31"/>
      <c r="E525" s="31"/>
      <c r="F525" s="31"/>
      <c r="G525" s="154"/>
    </row>
    <row r="526" spans="1:7" ht="15.75" customHeight="1">
      <c r="A526" s="153"/>
      <c r="B526" s="31"/>
      <c r="C526" s="31"/>
      <c r="D526" s="31"/>
      <c r="E526" s="31"/>
      <c r="F526" s="31"/>
      <c r="G526" s="154"/>
    </row>
    <row r="527" spans="1:7" ht="15.75" customHeight="1">
      <c r="A527" s="153"/>
      <c r="B527" s="31"/>
      <c r="C527" s="31"/>
      <c r="D527" s="31"/>
      <c r="E527" s="31"/>
      <c r="F527" s="31"/>
      <c r="G527" s="154"/>
    </row>
    <row r="528" spans="1:7" ht="15.75" customHeight="1">
      <c r="A528" s="153"/>
      <c r="B528" s="31"/>
      <c r="C528" s="31"/>
      <c r="D528" s="31"/>
      <c r="E528" s="31"/>
      <c r="F528" s="31"/>
      <c r="G528" s="154"/>
    </row>
    <row r="529" spans="1:7" ht="15.75" customHeight="1">
      <c r="A529" s="153"/>
      <c r="B529" s="31"/>
      <c r="C529" s="31"/>
      <c r="D529" s="31"/>
      <c r="E529" s="31"/>
      <c r="F529" s="31"/>
      <c r="G529" s="154"/>
    </row>
    <row r="530" spans="1:7" ht="15.75" customHeight="1">
      <c r="A530" s="153"/>
      <c r="B530" s="31"/>
      <c r="C530" s="31"/>
      <c r="D530" s="31"/>
      <c r="E530" s="31"/>
      <c r="F530" s="31"/>
      <c r="G530" s="154"/>
    </row>
    <row r="531" spans="1:7" ht="15.75" customHeight="1">
      <c r="A531" s="153"/>
      <c r="B531" s="31"/>
      <c r="C531" s="31"/>
      <c r="D531" s="31"/>
      <c r="E531" s="31"/>
      <c r="F531" s="31"/>
      <c r="G531" s="154"/>
    </row>
    <row r="532" spans="1:7" ht="15.75" customHeight="1">
      <c r="A532" s="153"/>
      <c r="B532" s="31"/>
      <c r="C532" s="31"/>
      <c r="D532" s="31"/>
      <c r="E532" s="31"/>
      <c r="F532" s="31"/>
      <c r="G532" s="154"/>
    </row>
    <row r="533" spans="1:7" ht="15.75" customHeight="1">
      <c r="A533" s="153"/>
      <c r="B533" s="31"/>
      <c r="C533" s="31"/>
      <c r="D533" s="31"/>
      <c r="E533" s="31"/>
      <c r="F533" s="31"/>
      <c r="G533" s="154"/>
    </row>
    <row r="534" spans="1:7" ht="15.75" customHeight="1">
      <c r="A534" s="153"/>
      <c r="B534" s="31"/>
      <c r="C534" s="31"/>
      <c r="D534" s="31"/>
      <c r="E534" s="31"/>
      <c r="F534" s="31"/>
      <c r="G534" s="154"/>
    </row>
    <row r="535" spans="1:7" ht="15.75" customHeight="1">
      <c r="A535" s="153"/>
      <c r="B535" s="31"/>
      <c r="C535" s="31"/>
      <c r="D535" s="31"/>
      <c r="E535" s="31"/>
      <c r="F535" s="31"/>
      <c r="G535" s="154"/>
    </row>
    <row r="536" spans="1:7" ht="15.75" customHeight="1">
      <c r="A536" s="153"/>
      <c r="B536" s="31"/>
      <c r="C536" s="31"/>
      <c r="D536" s="31"/>
      <c r="E536" s="31"/>
      <c r="F536" s="31"/>
      <c r="G536" s="154"/>
    </row>
    <row r="537" spans="1:7" ht="15.75" customHeight="1">
      <c r="A537" s="153"/>
      <c r="B537" s="31"/>
      <c r="C537" s="31"/>
      <c r="D537" s="31"/>
      <c r="E537" s="31"/>
      <c r="F537" s="31"/>
      <c r="G537" s="154"/>
    </row>
    <row r="538" spans="1:7" ht="15.75" customHeight="1">
      <c r="A538" s="153"/>
      <c r="B538" s="31"/>
      <c r="C538" s="31"/>
      <c r="D538" s="31"/>
      <c r="E538" s="31"/>
      <c r="F538" s="31"/>
      <c r="G538" s="154"/>
    </row>
    <row r="539" spans="1:7" ht="15.75" customHeight="1">
      <c r="A539" s="153"/>
      <c r="B539" s="31"/>
      <c r="C539" s="31"/>
      <c r="D539" s="31"/>
      <c r="E539" s="31"/>
      <c r="F539" s="31"/>
      <c r="G539" s="154"/>
    </row>
    <row r="540" spans="1:7" ht="15.75" customHeight="1">
      <c r="A540" s="153"/>
      <c r="B540" s="31"/>
      <c r="C540" s="31"/>
      <c r="D540" s="31"/>
      <c r="E540" s="31"/>
      <c r="F540" s="31"/>
      <c r="G540" s="154"/>
    </row>
    <row r="541" spans="1:7" ht="15.75" customHeight="1">
      <c r="A541" s="153"/>
      <c r="B541" s="31"/>
      <c r="C541" s="31"/>
      <c r="D541" s="31"/>
      <c r="E541" s="31"/>
      <c r="F541" s="31"/>
      <c r="G541" s="154"/>
    </row>
    <row r="542" spans="1:7" ht="15.75" customHeight="1">
      <c r="A542" s="153"/>
      <c r="B542" s="31"/>
      <c r="C542" s="31"/>
      <c r="D542" s="31"/>
      <c r="E542" s="31"/>
      <c r="F542" s="31"/>
      <c r="G542" s="154"/>
    </row>
    <row r="543" spans="1:7" ht="15.75" customHeight="1">
      <c r="A543" s="153"/>
      <c r="B543" s="31"/>
      <c r="C543" s="31"/>
      <c r="D543" s="31"/>
      <c r="E543" s="31"/>
      <c r="F543" s="31"/>
      <c r="G543" s="154"/>
    </row>
    <row r="544" spans="1:7" ht="15.75" customHeight="1">
      <c r="A544" s="153"/>
      <c r="B544" s="31"/>
      <c r="C544" s="31"/>
      <c r="D544" s="31"/>
      <c r="E544" s="31"/>
      <c r="F544" s="31"/>
      <c r="G544" s="154"/>
    </row>
    <row r="545" spans="1:7" ht="15.75" customHeight="1">
      <c r="A545" s="153"/>
      <c r="B545" s="31"/>
      <c r="C545" s="31"/>
      <c r="D545" s="31"/>
      <c r="E545" s="31"/>
      <c r="F545" s="31"/>
      <c r="G545" s="154"/>
    </row>
    <row r="546" spans="1:7" ht="15.75" customHeight="1">
      <c r="A546" s="153"/>
      <c r="B546" s="31"/>
      <c r="C546" s="31"/>
      <c r="D546" s="31"/>
      <c r="E546" s="31"/>
      <c r="F546" s="31"/>
      <c r="G546" s="154"/>
    </row>
    <row r="547" spans="1:7" ht="15.75" customHeight="1">
      <c r="A547" s="153"/>
      <c r="B547" s="31"/>
      <c r="C547" s="31"/>
      <c r="D547" s="31"/>
      <c r="E547" s="31"/>
      <c r="F547" s="31"/>
      <c r="G547" s="154"/>
    </row>
    <row r="548" spans="1:7" ht="15.75" customHeight="1">
      <c r="A548" s="153"/>
      <c r="B548" s="31"/>
      <c r="C548" s="31"/>
      <c r="D548" s="31"/>
      <c r="E548" s="31"/>
      <c r="F548" s="31"/>
      <c r="G548" s="154"/>
    </row>
    <row r="549" spans="1:7" ht="15.75" customHeight="1">
      <c r="A549" s="153"/>
      <c r="B549" s="31"/>
      <c r="C549" s="31"/>
      <c r="D549" s="31"/>
      <c r="E549" s="31"/>
      <c r="F549" s="31"/>
      <c r="G549" s="154"/>
    </row>
    <row r="550" spans="1:7" ht="15.75" customHeight="1">
      <c r="A550" s="153"/>
      <c r="B550" s="31"/>
      <c r="C550" s="31"/>
      <c r="D550" s="31"/>
      <c r="E550" s="31"/>
      <c r="F550" s="31"/>
      <c r="G550" s="154"/>
    </row>
    <row r="551" spans="1:7" ht="15.75" customHeight="1">
      <c r="A551" s="153"/>
      <c r="B551" s="31"/>
      <c r="C551" s="31"/>
      <c r="D551" s="31"/>
      <c r="E551" s="31"/>
      <c r="F551" s="31"/>
      <c r="G551" s="154"/>
    </row>
    <row r="552" spans="1:7" ht="15.75" customHeight="1">
      <c r="A552" s="153"/>
      <c r="B552" s="31"/>
      <c r="C552" s="31"/>
      <c r="D552" s="31"/>
      <c r="E552" s="31"/>
      <c r="F552" s="31"/>
      <c r="G552" s="154"/>
    </row>
    <row r="553" spans="1:7" ht="15.75" customHeight="1">
      <c r="A553" s="153"/>
      <c r="B553" s="31"/>
      <c r="C553" s="31"/>
      <c r="D553" s="31"/>
      <c r="E553" s="31"/>
      <c r="F553" s="31"/>
      <c r="G553" s="154"/>
    </row>
    <row r="554" spans="1:7" ht="15.75" customHeight="1">
      <c r="A554" s="153"/>
      <c r="B554" s="31"/>
      <c r="C554" s="31"/>
      <c r="D554" s="31"/>
      <c r="E554" s="31"/>
      <c r="F554" s="31"/>
      <c r="G554" s="154"/>
    </row>
    <row r="555" spans="1:7" ht="15.75" customHeight="1">
      <c r="A555" s="153"/>
      <c r="B555" s="31"/>
      <c r="C555" s="31"/>
      <c r="D555" s="31"/>
      <c r="E555" s="31"/>
      <c r="F555" s="31"/>
      <c r="G555" s="154"/>
    </row>
    <row r="556" spans="1:7" ht="15.75" customHeight="1">
      <c r="A556" s="153"/>
      <c r="B556" s="31"/>
      <c r="C556" s="31"/>
      <c r="D556" s="31"/>
      <c r="E556" s="31"/>
      <c r="F556" s="31"/>
      <c r="G556" s="154"/>
    </row>
    <row r="557" spans="1:7" ht="15.75" customHeight="1">
      <c r="A557" s="153"/>
      <c r="B557" s="31"/>
      <c r="C557" s="31"/>
      <c r="D557" s="31"/>
      <c r="E557" s="31"/>
      <c r="F557" s="31"/>
      <c r="G557" s="154"/>
    </row>
    <row r="558" spans="1:7" ht="15.75" customHeight="1">
      <c r="A558" s="153"/>
      <c r="B558" s="31"/>
      <c r="C558" s="31"/>
      <c r="D558" s="31"/>
      <c r="E558" s="31"/>
      <c r="F558" s="31"/>
      <c r="G558" s="154"/>
    </row>
    <row r="559" spans="1:7" ht="15.75" customHeight="1">
      <c r="A559" s="153"/>
      <c r="B559" s="31"/>
      <c r="C559" s="31"/>
      <c r="D559" s="31"/>
      <c r="E559" s="31"/>
      <c r="F559" s="31"/>
      <c r="G559" s="154"/>
    </row>
    <row r="560" spans="1:7" ht="15.75" customHeight="1">
      <c r="A560" s="153"/>
      <c r="B560" s="31"/>
      <c r="C560" s="31"/>
      <c r="D560" s="31"/>
      <c r="E560" s="31"/>
      <c r="F560" s="31"/>
      <c r="G560" s="154"/>
    </row>
    <row r="561" spans="1:7" ht="15.75" customHeight="1">
      <c r="A561" s="153"/>
      <c r="B561" s="31"/>
      <c r="C561" s="31"/>
      <c r="D561" s="31"/>
      <c r="E561" s="31"/>
      <c r="F561" s="31"/>
      <c r="G561" s="154"/>
    </row>
    <row r="562" spans="1:7" ht="15.75" customHeight="1">
      <c r="A562" s="153"/>
      <c r="B562" s="31"/>
      <c r="C562" s="31"/>
      <c r="D562" s="31"/>
      <c r="E562" s="31"/>
      <c r="F562" s="31"/>
      <c r="G562" s="154"/>
    </row>
    <row r="563" spans="1:7" ht="15.75" customHeight="1">
      <c r="A563" s="153"/>
      <c r="B563" s="31"/>
      <c r="C563" s="31"/>
      <c r="D563" s="31"/>
      <c r="E563" s="31"/>
      <c r="F563" s="31"/>
      <c r="G563" s="154"/>
    </row>
    <row r="564" spans="1:7" ht="15.75" customHeight="1">
      <c r="A564" s="153"/>
      <c r="B564" s="31"/>
      <c r="C564" s="31"/>
      <c r="D564" s="31"/>
      <c r="E564" s="31"/>
      <c r="F564" s="31"/>
      <c r="G564" s="154"/>
    </row>
    <row r="565" spans="1:7" ht="15.75" customHeight="1">
      <c r="A565" s="153"/>
      <c r="B565" s="31"/>
      <c r="C565" s="31"/>
      <c r="D565" s="31"/>
      <c r="E565" s="31"/>
      <c r="F565" s="31"/>
      <c r="G565" s="154"/>
    </row>
    <row r="566" spans="1:7" ht="15.75" customHeight="1">
      <c r="A566" s="153"/>
      <c r="B566" s="31"/>
      <c r="C566" s="31"/>
      <c r="D566" s="31"/>
      <c r="E566" s="31"/>
      <c r="F566" s="31"/>
      <c r="G566" s="154"/>
    </row>
    <row r="567" spans="1:7" ht="15.75" customHeight="1">
      <c r="A567" s="153"/>
      <c r="B567" s="31"/>
      <c r="C567" s="31"/>
      <c r="D567" s="31"/>
      <c r="E567" s="31"/>
      <c r="F567" s="31"/>
      <c r="G567" s="154"/>
    </row>
    <row r="568" spans="1:7" ht="15.75" customHeight="1">
      <c r="A568" s="153"/>
      <c r="B568" s="31"/>
      <c r="C568" s="31"/>
      <c r="D568" s="31"/>
      <c r="E568" s="31"/>
      <c r="F568" s="31"/>
      <c r="G568" s="154"/>
    </row>
    <row r="569" spans="1:7" ht="15.75" customHeight="1">
      <c r="A569" s="153"/>
      <c r="B569" s="31"/>
      <c r="C569" s="31"/>
      <c r="D569" s="31"/>
      <c r="E569" s="31"/>
      <c r="F569" s="31"/>
      <c r="G569" s="154"/>
    </row>
    <row r="570" spans="1:7" ht="15.75" customHeight="1">
      <c r="A570" s="153"/>
      <c r="B570" s="31"/>
      <c r="C570" s="31"/>
      <c r="D570" s="31"/>
      <c r="E570" s="31"/>
      <c r="F570" s="31"/>
      <c r="G570" s="154"/>
    </row>
    <row r="571" spans="1:7" ht="15.75" customHeight="1">
      <c r="A571" s="153"/>
      <c r="B571" s="31"/>
      <c r="C571" s="31"/>
      <c r="D571" s="31"/>
      <c r="E571" s="31"/>
      <c r="F571" s="31"/>
      <c r="G571" s="154"/>
    </row>
    <row r="572" spans="1:7" ht="15.75" customHeight="1">
      <c r="A572" s="153"/>
      <c r="B572" s="31"/>
      <c r="C572" s="31"/>
      <c r="D572" s="31"/>
      <c r="E572" s="31"/>
      <c r="F572" s="31"/>
      <c r="G572" s="154"/>
    </row>
    <row r="573" spans="1:7" ht="15.75" customHeight="1">
      <c r="A573" s="153"/>
      <c r="B573" s="31"/>
      <c r="C573" s="31"/>
      <c r="D573" s="31"/>
      <c r="E573" s="31"/>
      <c r="F573" s="31"/>
      <c r="G573" s="154"/>
    </row>
    <row r="574" spans="1:7" ht="15.75" customHeight="1">
      <c r="A574" s="153"/>
      <c r="B574" s="31"/>
      <c r="C574" s="31"/>
      <c r="D574" s="31"/>
      <c r="E574" s="31"/>
      <c r="F574" s="31"/>
      <c r="G574" s="154"/>
    </row>
    <row r="575" spans="1:7" ht="15.75" customHeight="1">
      <c r="A575" s="153"/>
      <c r="B575" s="31"/>
      <c r="C575" s="31"/>
      <c r="D575" s="31"/>
      <c r="E575" s="31"/>
      <c r="F575" s="31"/>
      <c r="G575" s="154"/>
    </row>
    <row r="576" spans="1:7" ht="15.75" customHeight="1">
      <c r="A576" s="153"/>
      <c r="B576" s="31"/>
      <c r="C576" s="31"/>
      <c r="D576" s="31"/>
      <c r="E576" s="31"/>
      <c r="F576" s="31"/>
      <c r="G576" s="154"/>
    </row>
    <row r="577" spans="1:7" ht="15.75" customHeight="1">
      <c r="A577" s="153"/>
      <c r="B577" s="31"/>
      <c r="C577" s="31"/>
      <c r="D577" s="31"/>
      <c r="E577" s="31"/>
      <c r="F577" s="31"/>
      <c r="G577" s="154"/>
    </row>
    <row r="578" spans="1:7" ht="15.75" customHeight="1">
      <c r="A578" s="153"/>
      <c r="B578" s="31"/>
      <c r="C578" s="31"/>
      <c r="D578" s="31"/>
      <c r="E578" s="31"/>
      <c r="F578" s="31"/>
      <c r="G578" s="154"/>
    </row>
    <row r="579" spans="1:7" ht="15.75" customHeight="1">
      <c r="A579" s="153"/>
      <c r="B579" s="31"/>
      <c r="C579" s="31"/>
      <c r="D579" s="31"/>
      <c r="E579" s="31"/>
      <c r="F579" s="31"/>
      <c r="G579" s="154"/>
    </row>
    <row r="580" spans="1:7" ht="15.75" customHeight="1">
      <c r="A580" s="153"/>
      <c r="B580" s="31"/>
      <c r="C580" s="31"/>
      <c r="D580" s="31"/>
      <c r="E580" s="31"/>
      <c r="F580" s="31"/>
      <c r="G580" s="154"/>
    </row>
    <row r="581" spans="1:7" ht="15.75" customHeight="1">
      <c r="A581" s="153"/>
      <c r="B581" s="31"/>
      <c r="C581" s="31"/>
      <c r="D581" s="31"/>
      <c r="E581" s="31"/>
      <c r="F581" s="31"/>
      <c r="G581" s="154"/>
    </row>
    <row r="582" spans="1:7" ht="15.75" customHeight="1">
      <c r="A582" s="153"/>
      <c r="B582" s="31"/>
      <c r="C582" s="31"/>
      <c r="D582" s="31"/>
      <c r="E582" s="31"/>
      <c r="F582" s="31"/>
      <c r="G582" s="154"/>
    </row>
    <row r="583" spans="1:7" ht="15.75" customHeight="1">
      <c r="A583" s="153"/>
      <c r="B583" s="31"/>
      <c r="C583" s="31"/>
      <c r="D583" s="31"/>
      <c r="E583" s="31"/>
      <c r="F583" s="31"/>
      <c r="G583" s="154"/>
    </row>
    <row r="584" spans="1:7" ht="15.75" customHeight="1">
      <c r="A584" s="153"/>
      <c r="B584" s="31"/>
      <c r="C584" s="31"/>
      <c r="D584" s="31"/>
      <c r="E584" s="31"/>
      <c r="F584" s="31"/>
      <c r="G584" s="154"/>
    </row>
    <row r="585" spans="1:7" ht="15.75" customHeight="1">
      <c r="A585" s="153"/>
      <c r="B585" s="31"/>
      <c r="C585" s="31"/>
      <c r="D585" s="31"/>
      <c r="E585" s="31"/>
      <c r="F585" s="31"/>
      <c r="G585" s="154"/>
    </row>
    <row r="586" spans="1:7" ht="15.75" customHeight="1">
      <c r="A586" s="153"/>
      <c r="B586" s="31"/>
      <c r="C586" s="31"/>
      <c r="D586" s="31"/>
      <c r="E586" s="31"/>
      <c r="F586" s="31"/>
      <c r="G586" s="154"/>
    </row>
    <row r="587" spans="1:7" ht="15.75" customHeight="1">
      <c r="A587" s="153"/>
      <c r="B587" s="31"/>
      <c r="C587" s="31"/>
      <c r="D587" s="31"/>
      <c r="E587" s="31"/>
      <c r="F587" s="31"/>
      <c r="G587" s="154"/>
    </row>
    <row r="588" spans="1:7" ht="15.75" customHeight="1">
      <c r="A588" s="153"/>
      <c r="B588" s="31"/>
      <c r="C588" s="31"/>
      <c r="D588" s="31"/>
      <c r="E588" s="31"/>
      <c r="F588" s="31"/>
      <c r="G588" s="154"/>
    </row>
    <row r="589" spans="1:7" ht="15.75" customHeight="1">
      <c r="A589" s="153"/>
      <c r="B589" s="31"/>
      <c r="C589" s="31"/>
      <c r="D589" s="31"/>
      <c r="E589" s="31"/>
      <c r="F589" s="31"/>
      <c r="G589" s="154"/>
    </row>
    <row r="590" spans="1:7" ht="15.75" customHeight="1">
      <c r="A590" s="153"/>
      <c r="B590" s="31"/>
      <c r="C590" s="31"/>
      <c r="D590" s="31"/>
      <c r="E590" s="31"/>
      <c r="F590" s="31"/>
      <c r="G590" s="154"/>
    </row>
    <row r="591" spans="1:7" ht="15.75" customHeight="1">
      <c r="A591" s="153"/>
      <c r="B591" s="31"/>
      <c r="C591" s="31"/>
      <c r="D591" s="31"/>
      <c r="E591" s="31"/>
      <c r="F591" s="31"/>
      <c r="G591" s="154"/>
    </row>
    <row r="592" spans="1:7" ht="15.75" customHeight="1">
      <c r="A592" s="153"/>
      <c r="B592" s="31"/>
      <c r="C592" s="31"/>
      <c r="D592" s="31"/>
      <c r="E592" s="31"/>
      <c r="F592" s="31"/>
      <c r="G592" s="154"/>
    </row>
    <row r="593" spans="1:7" ht="15.75" customHeight="1">
      <c r="A593" s="153"/>
      <c r="B593" s="31"/>
      <c r="C593" s="31"/>
      <c r="D593" s="31"/>
      <c r="E593" s="31"/>
      <c r="F593" s="31"/>
      <c r="G593" s="154"/>
    </row>
    <row r="594" spans="1:7" ht="15.75" customHeight="1">
      <c r="A594" s="153"/>
      <c r="B594" s="31"/>
      <c r="C594" s="31"/>
      <c r="D594" s="31"/>
      <c r="E594" s="31"/>
      <c r="F594" s="31"/>
      <c r="G594" s="154"/>
    </row>
    <row r="595" spans="1:7" ht="15.75" customHeight="1">
      <c r="A595" s="153"/>
      <c r="B595" s="31"/>
      <c r="C595" s="31"/>
      <c r="D595" s="31"/>
      <c r="E595" s="31"/>
      <c r="F595" s="31"/>
      <c r="G595" s="154"/>
    </row>
    <row r="596" spans="1:7" ht="15.75" customHeight="1">
      <c r="A596" s="153"/>
      <c r="B596" s="31"/>
      <c r="C596" s="31"/>
      <c r="D596" s="31"/>
      <c r="E596" s="31"/>
      <c r="F596" s="31"/>
      <c r="G596" s="154"/>
    </row>
    <row r="597" spans="1:7" ht="15.75" customHeight="1">
      <c r="A597" s="153"/>
      <c r="B597" s="31"/>
      <c r="C597" s="31"/>
      <c r="D597" s="31"/>
      <c r="E597" s="31"/>
      <c r="F597" s="31"/>
      <c r="G597" s="154"/>
    </row>
    <row r="598" spans="1:7" ht="15.75" customHeight="1">
      <c r="A598" s="153"/>
      <c r="B598" s="31"/>
      <c r="C598" s="31"/>
      <c r="D598" s="31"/>
      <c r="E598" s="31"/>
      <c r="F598" s="31"/>
      <c r="G598" s="154"/>
    </row>
    <row r="599" spans="1:7" ht="15.75" customHeight="1">
      <c r="A599" s="153"/>
      <c r="B599" s="31"/>
      <c r="C599" s="31"/>
      <c r="D599" s="31"/>
      <c r="E599" s="31"/>
      <c r="F599" s="31"/>
      <c r="G599" s="154"/>
    </row>
    <row r="600" spans="1:7" ht="15.75" customHeight="1">
      <c r="A600" s="153"/>
      <c r="B600" s="31"/>
      <c r="C600" s="31"/>
      <c r="D600" s="31"/>
      <c r="E600" s="31"/>
      <c r="F600" s="31"/>
      <c r="G600" s="154"/>
    </row>
    <row r="601" spans="1:7" ht="15.75" customHeight="1">
      <c r="A601" s="153"/>
      <c r="B601" s="31"/>
      <c r="C601" s="31"/>
      <c r="D601" s="31"/>
      <c r="E601" s="31"/>
      <c r="F601" s="31"/>
      <c r="G601" s="154"/>
    </row>
    <row r="602" spans="1:7" ht="15.75" customHeight="1">
      <c r="A602" s="153"/>
      <c r="B602" s="31"/>
      <c r="C602" s="31"/>
      <c r="D602" s="31"/>
      <c r="E602" s="31"/>
      <c r="F602" s="31"/>
      <c r="G602" s="154"/>
    </row>
    <row r="603" spans="1:7" ht="15.75" customHeight="1">
      <c r="A603" s="153"/>
      <c r="B603" s="31"/>
      <c r="C603" s="31"/>
      <c r="D603" s="31"/>
      <c r="E603" s="31"/>
      <c r="F603" s="31"/>
      <c r="G603" s="154"/>
    </row>
    <row r="604" spans="1:7" ht="15.75" customHeight="1">
      <c r="A604" s="153"/>
      <c r="B604" s="31"/>
      <c r="C604" s="31"/>
      <c r="D604" s="31"/>
      <c r="E604" s="31"/>
      <c r="F604" s="31"/>
      <c r="G604" s="154"/>
    </row>
    <row r="605" spans="1:7" ht="15.75" customHeight="1">
      <c r="A605" s="153"/>
      <c r="B605" s="31"/>
      <c r="C605" s="31"/>
      <c r="D605" s="31"/>
      <c r="E605" s="31"/>
      <c r="F605" s="31"/>
      <c r="G605" s="154"/>
    </row>
    <row r="606" spans="1:7" ht="15.75" customHeight="1">
      <c r="A606" s="153"/>
      <c r="B606" s="31"/>
      <c r="C606" s="31"/>
      <c r="D606" s="31"/>
      <c r="E606" s="31"/>
      <c r="F606" s="31"/>
      <c r="G606" s="154"/>
    </row>
    <row r="607" spans="1:7" ht="15.75" customHeight="1">
      <c r="A607" s="153"/>
      <c r="B607" s="31"/>
      <c r="C607" s="31"/>
      <c r="D607" s="31"/>
      <c r="E607" s="31"/>
      <c r="F607" s="31"/>
      <c r="G607" s="154"/>
    </row>
    <row r="608" spans="1:7" ht="15.75" customHeight="1">
      <c r="A608" s="153"/>
      <c r="B608" s="31"/>
      <c r="C608" s="31"/>
      <c r="D608" s="31"/>
      <c r="E608" s="31"/>
      <c r="F608" s="31"/>
      <c r="G608" s="154"/>
    </row>
    <row r="609" spans="1:7" ht="15.75" customHeight="1">
      <c r="A609" s="153"/>
      <c r="B609" s="31"/>
      <c r="C609" s="31"/>
      <c r="D609" s="31"/>
      <c r="E609" s="31"/>
      <c r="F609" s="31"/>
      <c r="G609" s="154"/>
    </row>
    <row r="610" spans="1:7" ht="15.75" customHeight="1">
      <c r="A610" s="153"/>
      <c r="B610" s="31"/>
      <c r="C610" s="31"/>
      <c r="D610" s="31"/>
      <c r="E610" s="31"/>
      <c r="F610" s="31"/>
      <c r="G610" s="154"/>
    </row>
    <row r="611" spans="1:7" ht="15.75" customHeight="1">
      <c r="A611" s="153"/>
      <c r="B611" s="31"/>
      <c r="C611" s="31"/>
      <c r="D611" s="31"/>
      <c r="E611" s="31"/>
      <c r="F611" s="31"/>
      <c r="G611" s="154"/>
    </row>
    <row r="612" spans="1:7" ht="15.75" customHeight="1">
      <c r="A612" s="153"/>
      <c r="B612" s="31"/>
      <c r="C612" s="31"/>
      <c r="D612" s="31"/>
      <c r="E612" s="31"/>
      <c r="F612" s="31"/>
      <c r="G612" s="154"/>
    </row>
    <row r="613" spans="1:7" ht="15.75" customHeight="1">
      <c r="A613" s="153"/>
      <c r="B613" s="31"/>
      <c r="C613" s="31"/>
      <c r="D613" s="31"/>
      <c r="E613" s="31"/>
      <c r="F613" s="31"/>
      <c r="G613" s="154"/>
    </row>
    <row r="614" spans="1:7" ht="15.75" customHeight="1">
      <c r="A614" s="153"/>
      <c r="B614" s="31"/>
      <c r="C614" s="31"/>
      <c r="D614" s="31"/>
      <c r="E614" s="31"/>
      <c r="F614" s="31"/>
      <c r="G614" s="154"/>
    </row>
    <row r="615" spans="1:7" ht="15.75" customHeight="1">
      <c r="A615" s="153"/>
      <c r="B615" s="31"/>
      <c r="C615" s="31"/>
      <c r="D615" s="31"/>
      <c r="E615" s="31"/>
      <c r="F615" s="31"/>
      <c r="G615" s="154"/>
    </row>
    <row r="616" spans="1:7" ht="15.75" customHeight="1">
      <c r="A616" s="153"/>
      <c r="B616" s="31"/>
      <c r="C616" s="31"/>
      <c r="D616" s="31"/>
      <c r="E616" s="31"/>
      <c r="F616" s="31"/>
      <c r="G616" s="154"/>
    </row>
    <row r="617" spans="1:7" ht="15.75" customHeight="1">
      <c r="A617" s="153"/>
      <c r="B617" s="31"/>
      <c r="C617" s="31"/>
      <c r="D617" s="31"/>
      <c r="E617" s="31"/>
      <c r="F617" s="31"/>
      <c r="G617" s="154"/>
    </row>
    <row r="618" spans="1:7" ht="15.75" customHeight="1">
      <c r="A618" s="153"/>
      <c r="B618" s="31"/>
      <c r="C618" s="31"/>
      <c r="D618" s="31"/>
      <c r="E618" s="31"/>
      <c r="F618" s="31"/>
      <c r="G618" s="154"/>
    </row>
    <row r="619" spans="1:7" ht="15.75" customHeight="1">
      <c r="A619" s="153"/>
      <c r="B619" s="31"/>
      <c r="C619" s="31"/>
      <c r="D619" s="31"/>
      <c r="E619" s="31"/>
      <c r="F619" s="31"/>
      <c r="G619" s="154"/>
    </row>
    <row r="620" spans="1:7" ht="15.75" customHeight="1">
      <c r="A620" s="153"/>
      <c r="B620" s="31"/>
      <c r="C620" s="31"/>
      <c r="D620" s="31"/>
      <c r="E620" s="31"/>
      <c r="F620" s="31"/>
      <c r="G620" s="154"/>
    </row>
    <row r="621" spans="1:7" ht="15.75" customHeight="1">
      <c r="A621" s="153"/>
      <c r="B621" s="31"/>
      <c r="C621" s="31"/>
      <c r="D621" s="31"/>
      <c r="E621" s="31"/>
      <c r="F621" s="31"/>
      <c r="G621" s="154"/>
    </row>
    <row r="622" spans="1:7" ht="15.75" customHeight="1">
      <c r="A622" s="153"/>
      <c r="B622" s="31"/>
      <c r="C622" s="31"/>
      <c r="D622" s="31"/>
      <c r="E622" s="31"/>
      <c r="F622" s="31"/>
      <c r="G622" s="154"/>
    </row>
    <row r="623" spans="1:7" ht="15.75" customHeight="1">
      <c r="A623" s="153"/>
      <c r="B623" s="31"/>
      <c r="C623" s="31"/>
      <c r="D623" s="31"/>
      <c r="E623" s="31"/>
      <c r="F623" s="31"/>
      <c r="G623" s="154"/>
    </row>
    <row r="624" spans="1:7" ht="15.75" customHeight="1">
      <c r="A624" s="153"/>
      <c r="B624" s="31"/>
      <c r="C624" s="31"/>
      <c r="D624" s="31"/>
      <c r="E624" s="31"/>
      <c r="F624" s="31"/>
      <c r="G624" s="154"/>
    </row>
    <row r="625" spans="1:7" ht="15.75" customHeight="1">
      <c r="A625" s="153"/>
      <c r="B625" s="31"/>
      <c r="C625" s="31"/>
      <c r="D625" s="31"/>
      <c r="E625" s="31"/>
      <c r="F625" s="31"/>
      <c r="G625" s="154"/>
    </row>
    <row r="626" spans="1:7" ht="15.75" customHeight="1">
      <c r="A626" s="153"/>
      <c r="B626" s="31"/>
      <c r="C626" s="31"/>
      <c r="D626" s="31"/>
      <c r="E626" s="31"/>
      <c r="F626" s="31"/>
      <c r="G626" s="154"/>
    </row>
    <row r="627" spans="1:7" ht="15.75" customHeight="1">
      <c r="A627" s="153"/>
      <c r="B627" s="31"/>
      <c r="C627" s="31"/>
      <c r="D627" s="31"/>
      <c r="E627" s="31"/>
      <c r="F627" s="31"/>
      <c r="G627" s="154"/>
    </row>
    <row r="628" spans="1:7" ht="15.75" customHeight="1">
      <c r="A628" s="153"/>
      <c r="B628" s="31"/>
      <c r="C628" s="31"/>
      <c r="D628" s="31"/>
      <c r="E628" s="31"/>
      <c r="F628" s="31"/>
      <c r="G628" s="154"/>
    </row>
    <row r="629" spans="1:7" ht="15.75" customHeight="1">
      <c r="A629" s="153"/>
      <c r="B629" s="31"/>
      <c r="C629" s="31"/>
      <c r="D629" s="31"/>
      <c r="E629" s="31"/>
      <c r="F629" s="31"/>
      <c r="G629" s="154"/>
    </row>
    <row r="630" spans="1:7" ht="15.75" customHeight="1">
      <c r="A630" s="153"/>
      <c r="B630" s="31"/>
      <c r="C630" s="31"/>
      <c r="D630" s="31"/>
      <c r="E630" s="31"/>
      <c r="F630" s="31"/>
      <c r="G630" s="154"/>
    </row>
    <row r="631" spans="1:7" ht="15.75" customHeight="1">
      <c r="A631" s="153"/>
      <c r="B631" s="31"/>
      <c r="C631" s="31"/>
      <c r="D631" s="31"/>
      <c r="E631" s="31"/>
      <c r="F631" s="31"/>
      <c r="G631" s="154"/>
    </row>
    <row r="632" spans="1:7" ht="15.75" customHeight="1">
      <c r="A632" s="153"/>
      <c r="B632" s="31"/>
      <c r="C632" s="31"/>
      <c r="D632" s="31"/>
      <c r="E632" s="31"/>
      <c r="F632" s="31"/>
      <c r="G632" s="154"/>
    </row>
    <row r="633" spans="1:7" ht="15.75" customHeight="1">
      <c r="A633" s="153"/>
      <c r="B633" s="31"/>
      <c r="C633" s="31"/>
      <c r="D633" s="31"/>
      <c r="E633" s="31"/>
      <c r="F633" s="31"/>
      <c r="G633" s="154"/>
    </row>
    <row r="634" spans="1:7" ht="15.75" customHeight="1">
      <c r="A634" s="153"/>
      <c r="B634" s="31"/>
      <c r="C634" s="31"/>
      <c r="D634" s="31"/>
      <c r="E634" s="31"/>
      <c r="F634" s="31"/>
      <c r="G634" s="154"/>
    </row>
    <row r="635" spans="1:7" ht="15.75" customHeight="1">
      <c r="A635" s="153"/>
      <c r="B635" s="31"/>
      <c r="C635" s="31"/>
      <c r="D635" s="31"/>
      <c r="E635" s="31"/>
      <c r="F635" s="31"/>
      <c r="G635" s="154"/>
    </row>
    <row r="636" spans="1:7" ht="15.75" customHeight="1">
      <c r="A636" s="153"/>
      <c r="B636" s="31"/>
      <c r="C636" s="31"/>
      <c r="D636" s="31"/>
      <c r="E636" s="31"/>
      <c r="F636" s="31"/>
      <c r="G636" s="154"/>
    </row>
    <row r="637" spans="1:7" ht="15.75" customHeight="1">
      <c r="A637" s="153"/>
      <c r="B637" s="31"/>
      <c r="C637" s="31"/>
      <c r="D637" s="31"/>
      <c r="E637" s="31"/>
      <c r="F637" s="31"/>
      <c r="G637" s="154"/>
    </row>
    <row r="638" spans="1:7" ht="15.75" customHeight="1">
      <c r="A638" s="153"/>
      <c r="B638" s="31"/>
      <c r="C638" s="31"/>
      <c r="D638" s="31"/>
      <c r="E638" s="31"/>
      <c r="F638" s="31"/>
      <c r="G638" s="154"/>
    </row>
    <row r="639" spans="1:7" ht="15.75" customHeight="1">
      <c r="A639" s="153"/>
      <c r="B639" s="31"/>
      <c r="C639" s="31"/>
      <c r="D639" s="31"/>
      <c r="E639" s="31"/>
      <c r="F639" s="31"/>
      <c r="G639" s="154"/>
    </row>
    <row r="640" spans="1:7" ht="15.75" customHeight="1">
      <c r="A640" s="153"/>
      <c r="B640" s="31"/>
      <c r="C640" s="31"/>
      <c r="D640" s="31"/>
      <c r="E640" s="31"/>
      <c r="F640" s="31"/>
      <c r="G640" s="154"/>
    </row>
    <row r="641" spans="1:7" ht="15.75" customHeight="1">
      <c r="A641" s="153"/>
      <c r="B641" s="31"/>
      <c r="C641" s="31"/>
      <c r="D641" s="31"/>
      <c r="E641" s="31"/>
      <c r="F641" s="31"/>
      <c r="G641" s="154"/>
    </row>
    <row r="642" spans="1:7" ht="15.75" customHeight="1">
      <c r="A642" s="153"/>
      <c r="B642" s="31"/>
      <c r="C642" s="31"/>
      <c r="D642" s="31"/>
      <c r="E642" s="31"/>
      <c r="F642" s="31"/>
      <c r="G642" s="154"/>
    </row>
    <row r="643" spans="1:7" ht="15.75" customHeight="1">
      <c r="A643" s="153"/>
      <c r="B643" s="31"/>
      <c r="C643" s="31"/>
      <c r="D643" s="31"/>
      <c r="E643" s="31"/>
      <c r="F643" s="31"/>
      <c r="G643" s="154"/>
    </row>
    <row r="644" spans="1:7" ht="15.75" customHeight="1">
      <c r="A644" s="153"/>
      <c r="B644" s="31"/>
      <c r="C644" s="31"/>
      <c r="D644" s="31"/>
      <c r="E644" s="31"/>
      <c r="F644" s="31"/>
      <c r="G644" s="154"/>
    </row>
    <row r="645" spans="1:7" ht="15.75" customHeight="1">
      <c r="A645" s="153"/>
      <c r="B645" s="31"/>
      <c r="C645" s="31"/>
      <c r="D645" s="31"/>
      <c r="E645" s="31"/>
      <c r="F645" s="31"/>
      <c r="G645" s="154"/>
    </row>
    <row r="646" spans="1:7" ht="15.75" customHeight="1">
      <c r="A646" s="153"/>
      <c r="B646" s="31"/>
      <c r="C646" s="31"/>
      <c r="D646" s="31"/>
      <c r="E646" s="31"/>
      <c r="F646" s="31"/>
      <c r="G646" s="154"/>
    </row>
    <row r="647" spans="1:7" ht="15.75" customHeight="1">
      <c r="A647" s="153"/>
      <c r="B647" s="31"/>
      <c r="C647" s="31"/>
      <c r="D647" s="31"/>
      <c r="E647" s="31"/>
      <c r="F647" s="31"/>
      <c r="G647" s="154"/>
    </row>
    <row r="648" spans="1:7" ht="15.75" customHeight="1">
      <c r="A648" s="153"/>
      <c r="B648" s="31"/>
      <c r="C648" s="31"/>
      <c r="D648" s="31"/>
      <c r="E648" s="31"/>
      <c r="F648" s="31"/>
      <c r="G648" s="154"/>
    </row>
    <row r="649" spans="1:7" ht="15.75" customHeight="1">
      <c r="A649" s="153"/>
      <c r="B649" s="31"/>
      <c r="C649" s="31"/>
      <c r="D649" s="31"/>
      <c r="E649" s="31"/>
      <c r="F649" s="31"/>
      <c r="G649" s="154"/>
    </row>
    <row r="650" spans="1:7" ht="15.75" customHeight="1">
      <c r="A650" s="153"/>
      <c r="B650" s="31"/>
      <c r="C650" s="31"/>
      <c r="D650" s="31"/>
      <c r="E650" s="31"/>
      <c r="F650" s="31"/>
      <c r="G650" s="154"/>
    </row>
    <row r="651" spans="1:7" ht="15.75" customHeight="1">
      <c r="A651" s="153"/>
      <c r="B651" s="31"/>
      <c r="C651" s="31"/>
      <c r="D651" s="31"/>
      <c r="E651" s="31"/>
      <c r="F651" s="31"/>
      <c r="G651" s="154"/>
    </row>
    <row r="652" spans="1:7" ht="15.75" customHeight="1">
      <c r="A652" s="153"/>
      <c r="B652" s="31"/>
      <c r="C652" s="31"/>
      <c r="D652" s="31"/>
      <c r="E652" s="31"/>
      <c r="F652" s="31"/>
      <c r="G652" s="154"/>
    </row>
    <row r="653" spans="1:7" ht="15.75" customHeight="1">
      <c r="A653" s="153"/>
      <c r="B653" s="31"/>
      <c r="C653" s="31"/>
      <c r="D653" s="31"/>
      <c r="E653" s="31"/>
      <c r="F653" s="31"/>
      <c r="G653" s="154"/>
    </row>
    <row r="654" spans="1:7" ht="15.75" customHeight="1">
      <c r="A654" s="153"/>
      <c r="B654" s="31"/>
      <c r="C654" s="31"/>
      <c r="D654" s="31"/>
      <c r="E654" s="31"/>
      <c r="F654" s="31"/>
      <c r="G654" s="154"/>
    </row>
    <row r="655" spans="1:7" ht="15.75" customHeight="1">
      <c r="A655" s="153"/>
      <c r="B655" s="31"/>
      <c r="C655" s="31"/>
      <c r="D655" s="31"/>
      <c r="E655" s="31"/>
      <c r="F655" s="31"/>
      <c r="G655" s="154"/>
    </row>
    <row r="656" spans="1:7" ht="15.75" customHeight="1">
      <c r="A656" s="153"/>
      <c r="B656" s="31"/>
      <c r="C656" s="31"/>
      <c r="D656" s="31"/>
      <c r="E656" s="31"/>
      <c r="F656" s="31"/>
      <c r="G656" s="154"/>
    </row>
    <row r="657" spans="1:7" ht="15.75" customHeight="1">
      <c r="A657" s="153"/>
      <c r="B657" s="31"/>
      <c r="C657" s="31"/>
      <c r="D657" s="31"/>
      <c r="E657" s="31"/>
      <c r="F657" s="31"/>
      <c r="G657" s="154"/>
    </row>
    <row r="658" spans="1:7" ht="15.75" customHeight="1">
      <c r="A658" s="153"/>
      <c r="B658" s="31"/>
      <c r="C658" s="31"/>
      <c r="D658" s="31"/>
      <c r="E658" s="31"/>
      <c r="F658" s="31"/>
      <c r="G658" s="154"/>
    </row>
    <row r="659" spans="1:7" ht="15.75" customHeight="1">
      <c r="A659" s="153"/>
      <c r="B659" s="31"/>
      <c r="C659" s="31"/>
      <c r="D659" s="31"/>
      <c r="E659" s="31"/>
      <c r="F659" s="31"/>
      <c r="G659" s="154"/>
    </row>
    <row r="660" spans="1:7" ht="15.75" customHeight="1">
      <c r="A660" s="153"/>
      <c r="B660" s="31"/>
      <c r="C660" s="31"/>
      <c r="D660" s="31"/>
      <c r="E660" s="31"/>
      <c r="F660" s="31"/>
      <c r="G660" s="154"/>
    </row>
    <row r="661" spans="1:7" ht="15.75" customHeight="1">
      <c r="A661" s="153"/>
      <c r="B661" s="31"/>
      <c r="C661" s="31"/>
      <c r="D661" s="31"/>
      <c r="E661" s="31"/>
      <c r="F661" s="31"/>
      <c r="G661" s="154"/>
    </row>
    <row r="662" spans="1:7" ht="15.75" customHeight="1">
      <c r="A662" s="153"/>
      <c r="B662" s="31"/>
      <c r="C662" s="31"/>
      <c r="D662" s="31"/>
      <c r="E662" s="31"/>
      <c r="F662" s="31"/>
      <c r="G662" s="154"/>
    </row>
    <row r="663" spans="1:7" ht="15.75" customHeight="1">
      <c r="A663" s="153"/>
      <c r="B663" s="31"/>
      <c r="C663" s="31"/>
      <c r="D663" s="31"/>
      <c r="E663" s="31"/>
      <c r="F663" s="31"/>
      <c r="G663" s="154"/>
    </row>
    <row r="664" spans="1:7" ht="15.75" customHeight="1">
      <c r="A664" s="153"/>
      <c r="B664" s="31"/>
      <c r="C664" s="31"/>
      <c r="D664" s="31"/>
      <c r="E664" s="31"/>
      <c r="F664" s="31"/>
      <c r="G664" s="154"/>
    </row>
    <row r="665" spans="1:7" ht="15.75" customHeight="1">
      <c r="A665" s="153"/>
      <c r="B665" s="31"/>
      <c r="C665" s="31"/>
      <c r="D665" s="31"/>
      <c r="E665" s="31"/>
      <c r="F665" s="31"/>
      <c r="G665" s="154"/>
    </row>
    <row r="666" spans="1:7" ht="15.75" customHeight="1">
      <c r="A666" s="153"/>
      <c r="B666" s="31"/>
      <c r="C666" s="31"/>
      <c r="D666" s="31"/>
      <c r="E666" s="31"/>
      <c r="F666" s="31"/>
      <c r="G666" s="154"/>
    </row>
    <row r="667" spans="1:7" ht="15.75" customHeight="1">
      <c r="A667" s="153"/>
      <c r="B667" s="31"/>
      <c r="C667" s="31"/>
      <c r="D667" s="31"/>
      <c r="E667" s="31"/>
      <c r="F667" s="31"/>
      <c r="G667" s="154"/>
    </row>
    <row r="668" spans="1:7" ht="15.75" customHeight="1">
      <c r="A668" s="153"/>
      <c r="B668" s="31"/>
      <c r="C668" s="31"/>
      <c r="D668" s="31"/>
      <c r="E668" s="31"/>
      <c r="F668" s="31"/>
      <c r="G668" s="154"/>
    </row>
    <row r="669" spans="1:7" ht="15.75" customHeight="1">
      <c r="A669" s="153"/>
      <c r="B669" s="31"/>
      <c r="C669" s="31"/>
      <c r="D669" s="31"/>
      <c r="E669" s="31"/>
      <c r="F669" s="31"/>
      <c r="G669" s="154"/>
    </row>
    <row r="670" spans="1:7" ht="15.75" customHeight="1">
      <c r="A670" s="153"/>
      <c r="B670" s="31"/>
      <c r="C670" s="31"/>
      <c r="D670" s="31"/>
      <c r="E670" s="31"/>
      <c r="F670" s="31"/>
      <c r="G670" s="154"/>
    </row>
    <row r="671" spans="1:7" ht="15.75" customHeight="1">
      <c r="A671" s="153"/>
      <c r="B671" s="31"/>
      <c r="C671" s="31"/>
      <c r="D671" s="31"/>
      <c r="E671" s="31"/>
      <c r="F671" s="31"/>
      <c r="G671" s="154"/>
    </row>
    <row r="672" spans="1:7" ht="15.75" customHeight="1">
      <c r="A672" s="153"/>
      <c r="B672" s="31"/>
      <c r="C672" s="31"/>
      <c r="D672" s="31"/>
      <c r="E672" s="31"/>
      <c r="F672" s="31"/>
      <c r="G672" s="154"/>
    </row>
    <row r="673" spans="1:7" ht="15.75" customHeight="1">
      <c r="A673" s="153"/>
      <c r="B673" s="31"/>
      <c r="C673" s="31"/>
      <c r="D673" s="31"/>
      <c r="E673" s="31"/>
      <c r="F673" s="31"/>
      <c r="G673" s="154"/>
    </row>
    <row r="674" spans="1:7" ht="15.75" customHeight="1">
      <c r="A674" s="153"/>
      <c r="B674" s="31"/>
      <c r="C674" s="31"/>
      <c r="D674" s="31"/>
      <c r="E674" s="31"/>
      <c r="F674" s="31"/>
      <c r="G674" s="154"/>
    </row>
    <row r="675" spans="1:7" ht="15.75" customHeight="1">
      <c r="A675" s="153"/>
      <c r="B675" s="31"/>
      <c r="C675" s="31"/>
      <c r="D675" s="31"/>
      <c r="E675" s="31"/>
      <c r="F675" s="31"/>
      <c r="G675" s="154"/>
    </row>
    <row r="676" spans="1:7" ht="15.75" customHeight="1">
      <c r="A676" s="153"/>
      <c r="B676" s="31"/>
      <c r="C676" s="31"/>
      <c r="D676" s="31"/>
      <c r="E676" s="31"/>
      <c r="F676" s="31"/>
      <c r="G676" s="154"/>
    </row>
    <row r="677" spans="1:7" ht="15.75" customHeight="1">
      <c r="A677" s="153"/>
      <c r="B677" s="31"/>
      <c r="C677" s="31"/>
      <c r="D677" s="31"/>
      <c r="E677" s="31"/>
      <c r="F677" s="31"/>
      <c r="G677" s="154"/>
    </row>
    <row r="678" spans="1:7" ht="15.75" customHeight="1">
      <c r="A678" s="153"/>
      <c r="B678" s="31"/>
      <c r="C678" s="31"/>
      <c r="D678" s="31"/>
      <c r="E678" s="31"/>
      <c r="F678" s="31"/>
      <c r="G678" s="154"/>
    </row>
    <row r="679" spans="1:7" ht="15.75" customHeight="1">
      <c r="A679" s="153"/>
      <c r="B679" s="31"/>
      <c r="C679" s="31"/>
      <c r="D679" s="31"/>
      <c r="E679" s="31"/>
      <c r="F679" s="31"/>
      <c r="G679" s="154"/>
    </row>
    <row r="680" spans="1:7" ht="15.75" customHeight="1">
      <c r="A680" s="153"/>
      <c r="B680" s="31"/>
      <c r="C680" s="31"/>
      <c r="D680" s="31"/>
      <c r="E680" s="31"/>
      <c r="F680" s="31"/>
      <c r="G680" s="154"/>
    </row>
    <row r="681" spans="1:7" ht="15.75" customHeight="1">
      <c r="A681" s="153"/>
      <c r="B681" s="31"/>
      <c r="C681" s="31"/>
      <c r="D681" s="31"/>
      <c r="E681" s="31"/>
      <c r="F681" s="31"/>
      <c r="G681" s="154"/>
    </row>
    <row r="682" spans="1:7" ht="15.75" customHeight="1">
      <c r="A682" s="153"/>
      <c r="B682" s="31"/>
      <c r="C682" s="31"/>
      <c r="D682" s="31"/>
      <c r="E682" s="31"/>
      <c r="F682" s="31"/>
      <c r="G682" s="154"/>
    </row>
    <row r="683" spans="1:7" ht="15.75" customHeight="1">
      <c r="A683" s="153"/>
      <c r="B683" s="31"/>
      <c r="C683" s="31"/>
      <c r="D683" s="31"/>
      <c r="E683" s="31"/>
      <c r="F683" s="31"/>
      <c r="G683" s="154"/>
    </row>
    <row r="684" spans="1:7" ht="15.75" customHeight="1">
      <c r="A684" s="153"/>
      <c r="B684" s="31"/>
      <c r="C684" s="31"/>
      <c r="D684" s="31"/>
      <c r="E684" s="31"/>
      <c r="F684" s="31"/>
      <c r="G684" s="154"/>
    </row>
    <row r="685" spans="1:7" ht="15.75" customHeight="1">
      <c r="A685" s="153"/>
      <c r="B685" s="31"/>
      <c r="C685" s="31"/>
      <c r="D685" s="31"/>
      <c r="E685" s="31"/>
      <c r="F685" s="31"/>
      <c r="G685" s="154"/>
    </row>
    <row r="686" spans="1:7" ht="15.75" customHeight="1">
      <c r="A686" s="153"/>
      <c r="B686" s="31"/>
      <c r="C686" s="31"/>
      <c r="D686" s="31"/>
      <c r="E686" s="31"/>
      <c r="F686" s="31"/>
      <c r="G686" s="154"/>
    </row>
    <row r="687" spans="1:7" ht="15.75" customHeight="1">
      <c r="A687" s="153"/>
      <c r="B687" s="31"/>
      <c r="C687" s="31"/>
      <c r="D687" s="31"/>
      <c r="E687" s="31"/>
      <c r="F687" s="31"/>
      <c r="G687" s="154"/>
    </row>
    <row r="688" spans="1:7" ht="15.75" customHeight="1">
      <c r="A688" s="153"/>
      <c r="B688" s="31"/>
      <c r="C688" s="31"/>
      <c r="D688" s="31"/>
      <c r="E688" s="31"/>
      <c r="F688" s="31"/>
      <c r="G688" s="154"/>
    </row>
    <row r="689" spans="1:7" ht="15.75" customHeight="1">
      <c r="A689" s="153"/>
      <c r="B689" s="31"/>
      <c r="C689" s="31"/>
      <c r="D689" s="31"/>
      <c r="E689" s="31"/>
      <c r="F689" s="31"/>
      <c r="G689" s="154"/>
    </row>
    <row r="690" spans="1:7" ht="15.75" customHeight="1">
      <c r="A690" s="153"/>
      <c r="B690" s="31"/>
      <c r="C690" s="31"/>
      <c r="D690" s="31"/>
      <c r="E690" s="31"/>
      <c r="F690" s="31"/>
      <c r="G690" s="154"/>
    </row>
    <row r="691" spans="1:7" ht="15.75" customHeight="1">
      <c r="A691" s="153"/>
      <c r="B691" s="31"/>
      <c r="C691" s="31"/>
      <c r="D691" s="31"/>
      <c r="E691" s="31"/>
      <c r="F691" s="31"/>
      <c r="G691" s="154"/>
    </row>
    <row r="692" spans="1:7" ht="15.75" customHeight="1">
      <c r="A692" s="153"/>
      <c r="B692" s="31"/>
      <c r="C692" s="31"/>
      <c r="D692" s="31"/>
      <c r="E692" s="31"/>
      <c r="F692" s="31"/>
      <c r="G692" s="154"/>
    </row>
    <row r="693" spans="1:7" ht="15.75" customHeight="1">
      <c r="A693" s="153"/>
      <c r="B693" s="31"/>
      <c r="C693" s="31"/>
      <c r="D693" s="31"/>
      <c r="E693" s="31"/>
      <c r="F693" s="31"/>
      <c r="G693" s="154"/>
    </row>
    <row r="694" spans="1:7" ht="15.75" customHeight="1">
      <c r="A694" s="153"/>
      <c r="B694" s="31"/>
      <c r="C694" s="31"/>
      <c r="D694" s="31"/>
      <c r="E694" s="31"/>
      <c r="F694" s="31"/>
      <c r="G694" s="154"/>
    </row>
    <row r="695" spans="1:7" ht="15.75" customHeight="1">
      <c r="A695" s="153"/>
      <c r="B695" s="31"/>
      <c r="C695" s="31"/>
      <c r="D695" s="31"/>
      <c r="E695" s="31"/>
      <c r="F695" s="31"/>
      <c r="G695" s="154"/>
    </row>
    <row r="696" spans="1:7" ht="15.75" customHeight="1">
      <c r="A696" s="153"/>
      <c r="B696" s="31"/>
      <c r="C696" s="31"/>
      <c r="D696" s="31"/>
      <c r="E696" s="31"/>
      <c r="F696" s="31"/>
      <c r="G696" s="154"/>
    </row>
    <row r="697" spans="1:7" ht="15.75" customHeight="1">
      <c r="A697" s="153"/>
      <c r="B697" s="31"/>
      <c r="C697" s="31"/>
      <c r="D697" s="31"/>
      <c r="E697" s="31"/>
      <c r="F697" s="31"/>
      <c r="G697" s="154"/>
    </row>
    <row r="698" spans="1:7" ht="15.75" customHeight="1">
      <c r="A698" s="153"/>
      <c r="B698" s="31"/>
      <c r="C698" s="31"/>
      <c r="D698" s="31"/>
      <c r="E698" s="31"/>
      <c r="F698" s="31"/>
      <c r="G698" s="154"/>
    </row>
    <row r="699" spans="1:7" ht="15.75" customHeight="1">
      <c r="A699" s="153"/>
      <c r="B699" s="31"/>
      <c r="C699" s="31"/>
      <c r="D699" s="31"/>
      <c r="E699" s="31"/>
      <c r="F699" s="31"/>
      <c r="G699" s="154"/>
    </row>
    <row r="700" spans="1:7" ht="15.75" customHeight="1">
      <c r="A700" s="153"/>
      <c r="B700" s="31"/>
      <c r="C700" s="31"/>
      <c r="D700" s="31"/>
      <c r="E700" s="31"/>
      <c r="F700" s="31"/>
      <c r="G700" s="154"/>
    </row>
    <row r="701" spans="1:7" ht="15.75" customHeight="1">
      <c r="A701" s="153"/>
      <c r="B701" s="31"/>
      <c r="C701" s="31"/>
      <c r="D701" s="31"/>
      <c r="E701" s="31"/>
      <c r="F701" s="31"/>
      <c r="G701" s="154"/>
    </row>
    <row r="702" spans="1:7" ht="15.75" customHeight="1">
      <c r="A702" s="153"/>
      <c r="B702" s="31"/>
      <c r="C702" s="31"/>
      <c r="D702" s="31"/>
      <c r="E702" s="31"/>
      <c r="F702" s="31"/>
      <c r="G702" s="154"/>
    </row>
    <row r="703" spans="1:7" ht="15.75" customHeight="1">
      <c r="A703" s="153"/>
      <c r="B703" s="31"/>
      <c r="C703" s="31"/>
      <c r="D703" s="31"/>
      <c r="E703" s="31"/>
      <c r="F703" s="31"/>
      <c r="G703" s="154"/>
    </row>
    <row r="704" spans="1:7" ht="15.75" customHeight="1">
      <c r="A704" s="153"/>
      <c r="B704" s="31"/>
      <c r="C704" s="31"/>
      <c r="D704" s="31"/>
      <c r="E704" s="31"/>
      <c r="F704" s="31"/>
      <c r="G704" s="154"/>
    </row>
    <row r="705" spans="1:7" ht="15.75" customHeight="1">
      <c r="A705" s="153"/>
      <c r="B705" s="31"/>
      <c r="C705" s="31"/>
      <c r="D705" s="31"/>
      <c r="E705" s="31"/>
      <c r="F705" s="31"/>
      <c r="G705" s="154"/>
    </row>
    <row r="706" spans="1:7" ht="15.75" customHeight="1">
      <c r="A706" s="153"/>
      <c r="B706" s="31"/>
      <c r="C706" s="31"/>
      <c r="D706" s="31"/>
      <c r="E706" s="31"/>
      <c r="F706" s="31"/>
      <c r="G706" s="154"/>
    </row>
    <row r="707" spans="1:7" ht="15.75" customHeight="1">
      <c r="A707" s="153"/>
      <c r="B707" s="31"/>
      <c r="C707" s="31"/>
      <c r="D707" s="31"/>
      <c r="E707" s="31"/>
      <c r="F707" s="31"/>
      <c r="G707" s="154"/>
    </row>
    <row r="708" spans="1:7" ht="15.75" customHeight="1">
      <c r="A708" s="153"/>
      <c r="B708" s="31"/>
      <c r="C708" s="31"/>
      <c r="D708" s="31"/>
      <c r="E708" s="31"/>
      <c r="F708" s="31"/>
      <c r="G708" s="154"/>
    </row>
    <row r="709" spans="1:7" ht="15.75" customHeight="1">
      <c r="A709" s="153"/>
      <c r="B709" s="31"/>
      <c r="C709" s="31"/>
      <c r="D709" s="31"/>
      <c r="E709" s="31"/>
      <c r="F709" s="31"/>
      <c r="G709" s="154"/>
    </row>
    <row r="710" spans="1:7" ht="15.75" customHeight="1">
      <c r="A710" s="153"/>
      <c r="B710" s="31"/>
      <c r="C710" s="31"/>
      <c r="D710" s="31"/>
      <c r="E710" s="31"/>
      <c r="F710" s="31"/>
      <c r="G710" s="154"/>
    </row>
    <row r="711" spans="1:7" ht="15.75" customHeight="1">
      <c r="A711" s="153"/>
      <c r="B711" s="31"/>
      <c r="C711" s="31"/>
      <c r="D711" s="31"/>
      <c r="E711" s="31"/>
      <c r="F711" s="31"/>
      <c r="G711" s="154"/>
    </row>
    <row r="712" spans="1:7" ht="15.75" customHeight="1">
      <c r="A712" s="153"/>
      <c r="B712" s="31"/>
      <c r="C712" s="31"/>
      <c r="D712" s="31"/>
      <c r="E712" s="31"/>
      <c r="F712" s="31"/>
      <c r="G712" s="154"/>
    </row>
    <row r="713" spans="1:7" ht="15.75" customHeight="1">
      <c r="A713" s="153"/>
      <c r="B713" s="31"/>
      <c r="C713" s="31"/>
      <c r="D713" s="31"/>
      <c r="E713" s="31"/>
      <c r="F713" s="31"/>
      <c r="G713" s="154"/>
    </row>
    <row r="714" spans="1:7" ht="15.75" customHeight="1">
      <c r="A714" s="153"/>
      <c r="B714" s="31"/>
      <c r="C714" s="31"/>
      <c r="D714" s="31"/>
      <c r="E714" s="31"/>
      <c r="F714" s="31"/>
      <c r="G714" s="154"/>
    </row>
    <row r="715" spans="1:7" ht="15.75" customHeight="1">
      <c r="A715" s="153"/>
      <c r="B715" s="31"/>
      <c r="C715" s="31"/>
      <c r="D715" s="31"/>
      <c r="E715" s="31"/>
      <c r="F715" s="31"/>
      <c r="G715" s="154"/>
    </row>
    <row r="716" spans="1:7" ht="15.75" customHeight="1">
      <c r="A716" s="153"/>
      <c r="B716" s="31"/>
      <c r="C716" s="31"/>
      <c r="D716" s="31"/>
      <c r="E716" s="31"/>
      <c r="F716" s="31"/>
      <c r="G716" s="154"/>
    </row>
    <row r="717" spans="1:7" ht="15.75" customHeight="1">
      <c r="A717" s="153"/>
      <c r="B717" s="31"/>
      <c r="C717" s="31"/>
      <c r="D717" s="31"/>
      <c r="E717" s="31"/>
      <c r="F717" s="31"/>
      <c r="G717" s="154"/>
    </row>
    <row r="718" spans="1:7" ht="15.75" customHeight="1">
      <c r="A718" s="153"/>
      <c r="B718" s="31"/>
      <c r="C718" s="31"/>
      <c r="D718" s="31"/>
      <c r="E718" s="31"/>
      <c r="F718" s="31"/>
      <c r="G718" s="154"/>
    </row>
    <row r="719" spans="1:7" ht="15.75" customHeight="1">
      <c r="A719" s="153"/>
      <c r="B719" s="31"/>
      <c r="C719" s="31"/>
      <c r="D719" s="31"/>
      <c r="E719" s="31"/>
      <c r="F719" s="31"/>
      <c r="G719" s="154"/>
    </row>
    <row r="720" spans="1:7" ht="15.75" customHeight="1">
      <c r="A720" s="153"/>
      <c r="B720" s="31"/>
      <c r="C720" s="31"/>
      <c r="D720" s="31"/>
      <c r="E720" s="31"/>
      <c r="F720" s="31"/>
      <c r="G720" s="154"/>
    </row>
    <row r="721" spans="1:7" ht="15.75" customHeight="1">
      <c r="A721" s="153"/>
      <c r="B721" s="31"/>
      <c r="C721" s="31"/>
      <c r="D721" s="31"/>
      <c r="E721" s="31"/>
      <c r="F721" s="31"/>
      <c r="G721" s="154"/>
    </row>
    <row r="722" spans="1:7" ht="15.75" customHeight="1">
      <c r="A722" s="153"/>
      <c r="B722" s="31"/>
      <c r="C722" s="31"/>
      <c r="D722" s="31"/>
      <c r="E722" s="31"/>
      <c r="F722" s="31"/>
      <c r="G722" s="154"/>
    </row>
    <row r="723" spans="1:7" ht="15.75" customHeight="1">
      <c r="A723" s="153"/>
      <c r="B723" s="31"/>
      <c r="C723" s="31"/>
      <c r="D723" s="31"/>
      <c r="E723" s="31"/>
      <c r="F723" s="31"/>
      <c r="G723" s="154"/>
    </row>
    <row r="724" spans="1:7" ht="15.75" customHeight="1">
      <c r="A724" s="153"/>
      <c r="B724" s="31"/>
      <c r="C724" s="31"/>
      <c r="D724" s="31"/>
      <c r="E724" s="31"/>
      <c r="F724" s="31"/>
      <c r="G724" s="154"/>
    </row>
    <row r="725" spans="1:7" ht="15.75" customHeight="1">
      <c r="A725" s="153"/>
      <c r="B725" s="31"/>
      <c r="C725" s="31"/>
      <c r="D725" s="31"/>
      <c r="E725" s="31"/>
      <c r="F725" s="31"/>
      <c r="G725" s="154"/>
    </row>
    <row r="726" spans="1:7" ht="15.75" customHeight="1">
      <c r="A726" s="153"/>
      <c r="B726" s="31"/>
      <c r="C726" s="31"/>
      <c r="D726" s="31"/>
      <c r="E726" s="31"/>
      <c r="F726" s="31"/>
      <c r="G726" s="154"/>
    </row>
    <row r="727" spans="1:7" ht="15.75" customHeight="1">
      <c r="A727" s="153"/>
      <c r="B727" s="31"/>
      <c r="C727" s="31"/>
      <c r="D727" s="31"/>
      <c r="E727" s="31"/>
      <c r="F727" s="31"/>
      <c r="G727" s="154"/>
    </row>
    <row r="728" spans="1:7" ht="15.75" customHeight="1">
      <c r="A728" s="153"/>
      <c r="B728" s="31"/>
      <c r="C728" s="31"/>
      <c r="D728" s="31"/>
      <c r="E728" s="31"/>
      <c r="F728" s="31"/>
      <c r="G728" s="154"/>
    </row>
    <row r="729" spans="1:7" ht="15.75" customHeight="1">
      <c r="A729" s="153"/>
      <c r="B729" s="31"/>
      <c r="C729" s="31"/>
      <c r="D729" s="31"/>
      <c r="E729" s="31"/>
      <c r="F729" s="31"/>
      <c r="G729" s="154"/>
    </row>
    <row r="730" spans="1:7" ht="15.75" customHeight="1">
      <c r="A730" s="153"/>
      <c r="B730" s="31"/>
      <c r="C730" s="31"/>
      <c r="D730" s="31"/>
      <c r="E730" s="31"/>
      <c r="F730" s="31"/>
      <c r="G730" s="154"/>
    </row>
    <row r="731" spans="1:7" ht="15.75" customHeight="1">
      <c r="A731" s="153"/>
      <c r="B731" s="31"/>
      <c r="C731" s="31"/>
      <c r="D731" s="31"/>
      <c r="E731" s="31"/>
      <c r="F731" s="31"/>
      <c r="G731" s="154"/>
    </row>
    <row r="732" spans="1:7" ht="15.75" customHeight="1">
      <c r="A732" s="153"/>
      <c r="B732" s="31"/>
      <c r="C732" s="31"/>
      <c r="D732" s="31"/>
      <c r="E732" s="31"/>
      <c r="F732" s="31"/>
      <c r="G732" s="154"/>
    </row>
    <row r="733" spans="1:7" ht="15.75" customHeight="1">
      <c r="A733" s="153"/>
      <c r="B733" s="31"/>
      <c r="C733" s="31"/>
      <c r="D733" s="31"/>
      <c r="E733" s="31"/>
      <c r="F733" s="31"/>
      <c r="G733" s="154"/>
    </row>
    <row r="734" spans="1:7" ht="15.75" customHeight="1">
      <c r="A734" s="153"/>
      <c r="B734" s="31"/>
      <c r="C734" s="31"/>
      <c r="D734" s="31"/>
      <c r="E734" s="31"/>
      <c r="F734" s="31"/>
      <c r="G734" s="154"/>
    </row>
    <row r="735" spans="1:7" ht="15.75" customHeight="1">
      <c r="A735" s="153"/>
      <c r="B735" s="31"/>
      <c r="C735" s="31"/>
      <c r="D735" s="31"/>
      <c r="E735" s="31"/>
      <c r="F735" s="31"/>
      <c r="G735" s="154"/>
    </row>
    <row r="736" spans="1:7" ht="15.75" customHeight="1">
      <c r="A736" s="153"/>
      <c r="B736" s="31"/>
      <c r="C736" s="31"/>
      <c r="D736" s="31"/>
      <c r="E736" s="31"/>
      <c r="F736" s="31"/>
      <c r="G736" s="154"/>
    </row>
    <row r="737" spans="1:7" ht="15.75" customHeight="1">
      <c r="A737" s="153"/>
      <c r="B737" s="31"/>
      <c r="C737" s="31"/>
      <c r="D737" s="31"/>
      <c r="E737" s="31"/>
      <c r="F737" s="31"/>
      <c r="G737" s="154"/>
    </row>
    <row r="738" spans="1:7" ht="15.75" customHeight="1">
      <c r="A738" s="153"/>
      <c r="B738" s="31"/>
      <c r="C738" s="31"/>
      <c r="D738" s="31"/>
      <c r="E738" s="31"/>
      <c r="F738" s="31"/>
      <c r="G738" s="154"/>
    </row>
    <row r="739" spans="1:7" ht="15.75" customHeight="1">
      <c r="A739" s="153"/>
      <c r="B739" s="31"/>
      <c r="C739" s="31"/>
      <c r="D739" s="31"/>
      <c r="E739" s="31"/>
      <c r="F739" s="31"/>
      <c r="G739" s="154"/>
    </row>
    <row r="740" spans="1:7" ht="15.75" customHeight="1">
      <c r="A740" s="153"/>
      <c r="B740" s="31"/>
      <c r="C740" s="31"/>
      <c r="D740" s="31"/>
      <c r="E740" s="31"/>
      <c r="F740" s="31"/>
      <c r="G740" s="154"/>
    </row>
    <row r="741" spans="1:7" ht="15.75" customHeight="1">
      <c r="A741" s="153"/>
      <c r="B741" s="31"/>
      <c r="C741" s="31"/>
      <c r="D741" s="31"/>
      <c r="E741" s="31"/>
      <c r="F741" s="31"/>
      <c r="G741" s="154"/>
    </row>
    <row r="742" spans="1:7" ht="15.75" customHeight="1">
      <c r="A742" s="153"/>
      <c r="B742" s="31"/>
      <c r="C742" s="31"/>
      <c r="D742" s="31"/>
      <c r="E742" s="31"/>
      <c r="F742" s="31"/>
      <c r="G742" s="154"/>
    </row>
    <row r="743" spans="1:7" ht="15.75" customHeight="1">
      <c r="A743" s="153"/>
      <c r="B743" s="31"/>
      <c r="C743" s="31"/>
      <c r="D743" s="31"/>
      <c r="E743" s="31"/>
      <c r="F743" s="31"/>
      <c r="G743" s="154"/>
    </row>
    <row r="744" spans="1:7" ht="15.75" customHeight="1">
      <c r="A744" s="153"/>
      <c r="B744" s="31"/>
      <c r="C744" s="31"/>
      <c r="D744" s="31"/>
      <c r="E744" s="31"/>
      <c r="F744" s="31"/>
      <c r="G744" s="154"/>
    </row>
    <row r="745" spans="1:7" ht="15.75" customHeight="1">
      <c r="A745" s="153"/>
      <c r="B745" s="31"/>
      <c r="C745" s="31"/>
      <c r="D745" s="31"/>
      <c r="E745" s="31"/>
      <c r="F745" s="31"/>
      <c r="G745" s="154"/>
    </row>
    <row r="746" spans="1:7" ht="15.75" customHeight="1">
      <c r="A746" s="153"/>
      <c r="B746" s="31"/>
      <c r="C746" s="31"/>
      <c r="D746" s="31"/>
      <c r="E746" s="31"/>
      <c r="F746" s="31"/>
      <c r="G746" s="154"/>
    </row>
    <row r="747" spans="1:7" ht="15.75" customHeight="1">
      <c r="A747" s="153"/>
      <c r="B747" s="31"/>
      <c r="C747" s="31"/>
      <c r="D747" s="31"/>
      <c r="E747" s="31"/>
      <c r="F747" s="31"/>
      <c r="G747" s="154"/>
    </row>
    <row r="748" spans="1:7" ht="15.75" customHeight="1">
      <c r="A748" s="153"/>
      <c r="B748" s="31"/>
      <c r="C748" s="31"/>
      <c r="D748" s="31"/>
      <c r="E748" s="31"/>
      <c r="F748" s="31"/>
      <c r="G748" s="154"/>
    </row>
    <row r="749" spans="1:7" ht="15.75" customHeight="1">
      <c r="A749" s="153"/>
      <c r="B749" s="31"/>
      <c r="C749" s="31"/>
      <c r="D749" s="31"/>
      <c r="E749" s="31"/>
      <c r="F749" s="31"/>
      <c r="G749" s="154"/>
    </row>
    <row r="750" spans="1:7" ht="15.75" customHeight="1">
      <c r="A750" s="153"/>
      <c r="B750" s="31"/>
      <c r="C750" s="31"/>
      <c r="D750" s="31"/>
      <c r="E750" s="31"/>
      <c r="F750" s="31"/>
      <c r="G750" s="154"/>
    </row>
    <row r="751" spans="1:7" ht="15.75" customHeight="1">
      <c r="A751" s="153"/>
      <c r="B751" s="31"/>
      <c r="C751" s="31"/>
      <c r="D751" s="31"/>
      <c r="E751" s="31"/>
      <c r="F751" s="31"/>
      <c r="G751" s="154"/>
    </row>
    <row r="752" spans="1:7" ht="15.75" customHeight="1">
      <c r="A752" s="153"/>
      <c r="B752" s="31"/>
      <c r="C752" s="31"/>
      <c r="D752" s="31"/>
      <c r="E752" s="31"/>
      <c r="F752" s="31"/>
      <c r="G752" s="154"/>
    </row>
    <row r="753" spans="1:7" ht="15.75" customHeight="1">
      <c r="A753" s="153"/>
      <c r="B753" s="31"/>
      <c r="C753" s="31"/>
      <c r="D753" s="31"/>
      <c r="E753" s="31"/>
      <c r="F753" s="31"/>
      <c r="G753" s="154"/>
    </row>
    <row r="754" spans="1:7" ht="15.75" customHeight="1">
      <c r="A754" s="153"/>
      <c r="B754" s="31"/>
      <c r="C754" s="31"/>
      <c r="D754" s="31"/>
      <c r="E754" s="31"/>
      <c r="F754" s="31"/>
      <c r="G754" s="154"/>
    </row>
    <row r="755" spans="1:7" ht="15.75" customHeight="1">
      <c r="A755" s="153"/>
      <c r="B755" s="31"/>
      <c r="C755" s="31"/>
      <c r="D755" s="31"/>
      <c r="E755" s="31"/>
      <c r="F755" s="31"/>
      <c r="G755" s="154"/>
    </row>
    <row r="756" spans="1:7" ht="15.75" customHeight="1">
      <c r="A756" s="153"/>
      <c r="B756" s="31"/>
      <c r="C756" s="31"/>
      <c r="D756" s="31"/>
      <c r="E756" s="31"/>
      <c r="F756" s="31"/>
      <c r="G756" s="154"/>
    </row>
    <row r="757" spans="1:7" ht="15.75" customHeight="1">
      <c r="A757" s="153"/>
      <c r="B757" s="31"/>
      <c r="C757" s="31"/>
      <c r="D757" s="31"/>
      <c r="E757" s="31"/>
      <c r="F757" s="31"/>
      <c r="G757" s="154"/>
    </row>
    <row r="758" spans="1:7" ht="15.75" customHeight="1">
      <c r="A758" s="153"/>
      <c r="B758" s="31"/>
      <c r="C758" s="31"/>
      <c r="D758" s="31"/>
      <c r="E758" s="31"/>
      <c r="F758" s="31"/>
      <c r="G758" s="154"/>
    </row>
    <row r="759" spans="1:7" ht="15.75" customHeight="1">
      <c r="A759" s="153"/>
      <c r="B759" s="31"/>
      <c r="C759" s="31"/>
      <c r="D759" s="31"/>
      <c r="E759" s="31"/>
      <c r="F759" s="31"/>
      <c r="G759" s="154"/>
    </row>
    <row r="760" spans="1:7" ht="15.75" customHeight="1">
      <c r="A760" s="153"/>
      <c r="B760" s="31"/>
      <c r="C760" s="31"/>
      <c r="D760" s="31"/>
      <c r="E760" s="31"/>
      <c r="F760" s="31"/>
      <c r="G760" s="154"/>
    </row>
    <row r="761" spans="1:7" ht="15.75" customHeight="1">
      <c r="A761" s="153"/>
      <c r="B761" s="31"/>
      <c r="C761" s="31"/>
      <c r="D761" s="31"/>
      <c r="E761" s="31"/>
      <c r="F761" s="31"/>
      <c r="G761" s="154"/>
    </row>
    <row r="762" spans="1:7" ht="15.75" customHeight="1">
      <c r="A762" s="153"/>
      <c r="B762" s="31"/>
      <c r="C762" s="31"/>
      <c r="D762" s="31"/>
      <c r="E762" s="31"/>
      <c r="F762" s="31"/>
      <c r="G762" s="154"/>
    </row>
    <row r="763" spans="1:7" ht="15.75" customHeight="1">
      <c r="A763" s="153"/>
      <c r="B763" s="31"/>
      <c r="C763" s="31"/>
      <c r="D763" s="31"/>
      <c r="E763" s="31"/>
      <c r="F763" s="31"/>
      <c r="G763" s="154"/>
    </row>
    <row r="764" spans="1:7" ht="15.75" customHeight="1">
      <c r="A764" s="153"/>
      <c r="B764" s="31"/>
      <c r="C764" s="31"/>
      <c r="D764" s="31"/>
      <c r="E764" s="31"/>
      <c r="F764" s="31"/>
      <c r="G764" s="154"/>
    </row>
    <row r="765" spans="1:7" ht="15.75" customHeight="1">
      <c r="A765" s="153"/>
      <c r="B765" s="31"/>
      <c r="C765" s="31"/>
      <c r="D765" s="31"/>
      <c r="E765" s="31"/>
      <c r="F765" s="31"/>
      <c r="G765" s="154"/>
    </row>
    <row r="766" spans="1:7" ht="15.75" customHeight="1">
      <c r="A766" s="153"/>
      <c r="B766" s="31"/>
      <c r="C766" s="31"/>
      <c r="D766" s="31"/>
      <c r="E766" s="31"/>
      <c r="F766" s="31"/>
      <c r="G766" s="154"/>
    </row>
    <row r="767" spans="1:7" ht="15.75" customHeight="1">
      <c r="A767" s="153"/>
      <c r="B767" s="31"/>
      <c r="C767" s="31"/>
      <c r="D767" s="31"/>
      <c r="E767" s="31"/>
      <c r="F767" s="31"/>
      <c r="G767" s="154"/>
    </row>
    <row r="768" spans="1:7" ht="15.75" customHeight="1">
      <c r="A768" s="153"/>
      <c r="B768" s="31"/>
      <c r="C768" s="31"/>
      <c r="D768" s="31"/>
      <c r="E768" s="31"/>
      <c r="F768" s="31"/>
      <c r="G768" s="154"/>
    </row>
    <row r="769" spans="1:7" ht="15.75" customHeight="1">
      <c r="A769" s="153"/>
      <c r="B769" s="31"/>
      <c r="C769" s="31"/>
      <c r="D769" s="31"/>
      <c r="E769" s="31"/>
      <c r="F769" s="31"/>
      <c r="G769" s="154"/>
    </row>
    <row r="770" spans="1:7" ht="15.75" customHeight="1">
      <c r="A770" s="153"/>
      <c r="B770" s="31"/>
      <c r="C770" s="31"/>
      <c r="D770" s="31"/>
      <c r="E770" s="31"/>
      <c r="F770" s="31"/>
      <c r="G770" s="154"/>
    </row>
    <row r="771" spans="1:7" ht="15.75" customHeight="1">
      <c r="A771" s="153"/>
      <c r="B771" s="31"/>
      <c r="C771" s="31"/>
      <c r="D771" s="31"/>
      <c r="E771" s="31"/>
      <c r="F771" s="31"/>
      <c r="G771" s="154"/>
    </row>
    <row r="772" spans="1:7" ht="15.75" customHeight="1">
      <c r="A772" s="153"/>
      <c r="B772" s="31"/>
      <c r="C772" s="31"/>
      <c r="D772" s="31"/>
      <c r="E772" s="31"/>
      <c r="F772" s="31"/>
      <c r="G772" s="154"/>
    </row>
    <row r="773" spans="1:7" ht="15.75" customHeight="1">
      <c r="A773" s="153"/>
      <c r="B773" s="31"/>
      <c r="C773" s="31"/>
      <c r="D773" s="31"/>
      <c r="E773" s="31"/>
      <c r="F773" s="31"/>
      <c r="G773" s="154"/>
    </row>
    <row r="774" spans="1:7" ht="15.75" customHeight="1">
      <c r="A774" s="153"/>
      <c r="B774" s="31"/>
      <c r="C774" s="31"/>
      <c r="D774" s="31"/>
      <c r="E774" s="31"/>
      <c r="F774" s="31"/>
      <c r="G774" s="154"/>
    </row>
    <row r="775" spans="1:7" ht="15.75" customHeight="1">
      <c r="A775" s="153"/>
      <c r="B775" s="31"/>
      <c r="C775" s="31"/>
      <c r="D775" s="31"/>
      <c r="E775" s="31"/>
      <c r="F775" s="31"/>
      <c r="G775" s="154"/>
    </row>
    <row r="776" spans="1:7" ht="15.75" customHeight="1">
      <c r="A776" s="153"/>
      <c r="B776" s="31"/>
      <c r="C776" s="31"/>
      <c r="D776" s="31"/>
      <c r="E776" s="31"/>
      <c r="F776" s="31"/>
      <c r="G776" s="154"/>
    </row>
    <row r="777" spans="1:7" ht="15.75" customHeight="1">
      <c r="A777" s="153"/>
      <c r="B777" s="31"/>
      <c r="C777" s="31"/>
      <c r="D777" s="31"/>
      <c r="E777" s="31"/>
      <c r="F777" s="31"/>
      <c r="G777" s="154"/>
    </row>
    <row r="778" spans="1:7" ht="15.75" customHeight="1">
      <c r="A778" s="153"/>
      <c r="B778" s="31"/>
      <c r="C778" s="31"/>
      <c r="D778" s="31"/>
      <c r="E778" s="31"/>
      <c r="F778" s="31"/>
      <c r="G778" s="154"/>
    </row>
    <row r="779" spans="1:7" ht="15.75" customHeight="1">
      <c r="A779" s="153"/>
      <c r="B779" s="31"/>
      <c r="C779" s="31"/>
      <c r="D779" s="31"/>
      <c r="E779" s="31"/>
      <c r="F779" s="31"/>
      <c r="G779" s="154"/>
    </row>
    <row r="780" spans="1:7" ht="15.75" customHeight="1">
      <c r="A780" s="153"/>
      <c r="B780" s="31"/>
      <c r="C780" s="31"/>
      <c r="D780" s="31"/>
      <c r="E780" s="31"/>
      <c r="F780" s="31"/>
      <c r="G780" s="154"/>
    </row>
    <row r="781" spans="1:7" ht="15.75" customHeight="1">
      <c r="A781" s="153"/>
      <c r="B781" s="31"/>
      <c r="C781" s="31"/>
      <c r="D781" s="31"/>
      <c r="E781" s="31"/>
      <c r="F781" s="31"/>
      <c r="G781" s="154"/>
    </row>
    <row r="782" spans="1:7" ht="15.75" customHeight="1">
      <c r="A782" s="153"/>
      <c r="B782" s="31"/>
      <c r="C782" s="31"/>
      <c r="D782" s="31"/>
      <c r="E782" s="31"/>
      <c r="F782" s="31"/>
      <c r="G782" s="154"/>
    </row>
    <row r="783" spans="1:7" ht="15.75" customHeight="1">
      <c r="A783" s="153"/>
      <c r="B783" s="31"/>
      <c r="C783" s="31"/>
      <c r="D783" s="31"/>
      <c r="E783" s="31"/>
      <c r="F783" s="31"/>
      <c r="G783" s="154"/>
    </row>
    <row r="784" spans="1:7" ht="15.75" customHeight="1">
      <c r="A784" s="153"/>
      <c r="B784" s="31"/>
      <c r="C784" s="31"/>
      <c r="D784" s="31"/>
      <c r="E784" s="31"/>
      <c r="F784" s="31"/>
      <c r="G784" s="154"/>
    </row>
    <row r="785" spans="1:7" ht="15.75" customHeight="1">
      <c r="A785" s="153"/>
      <c r="B785" s="31"/>
      <c r="C785" s="31"/>
      <c r="D785" s="31"/>
      <c r="E785" s="31"/>
      <c r="F785" s="31"/>
      <c r="G785" s="154"/>
    </row>
    <row r="786" spans="1:7" ht="15.75" customHeight="1">
      <c r="A786" s="153"/>
      <c r="B786" s="31"/>
      <c r="C786" s="31"/>
      <c r="D786" s="31"/>
      <c r="E786" s="31"/>
      <c r="F786" s="31"/>
      <c r="G786" s="154"/>
    </row>
    <row r="787" spans="1:7" ht="15.75" customHeight="1">
      <c r="A787" s="153"/>
      <c r="B787" s="31"/>
      <c r="C787" s="31"/>
      <c r="D787" s="31"/>
      <c r="E787" s="31"/>
      <c r="F787" s="31"/>
      <c r="G787" s="154"/>
    </row>
    <row r="788" spans="1:7" ht="15.75" customHeight="1">
      <c r="A788" s="153"/>
      <c r="B788" s="31"/>
      <c r="C788" s="31"/>
      <c r="D788" s="31"/>
      <c r="E788" s="31"/>
      <c r="F788" s="31"/>
      <c r="G788" s="154"/>
    </row>
    <row r="789" spans="1:7" ht="15.75" customHeight="1">
      <c r="A789" s="153"/>
      <c r="B789" s="31"/>
      <c r="C789" s="31"/>
      <c r="D789" s="31"/>
      <c r="E789" s="31"/>
      <c r="F789" s="31"/>
      <c r="G789" s="154"/>
    </row>
    <row r="790" spans="1:7" ht="15.75" customHeight="1">
      <c r="A790" s="153"/>
      <c r="B790" s="31"/>
      <c r="C790" s="31"/>
      <c r="D790" s="31"/>
      <c r="E790" s="31"/>
      <c r="F790" s="31"/>
      <c r="G790" s="154"/>
    </row>
    <row r="791" spans="1:7" ht="15.75" customHeight="1">
      <c r="A791" s="153"/>
      <c r="B791" s="31"/>
      <c r="C791" s="31"/>
      <c r="D791" s="31"/>
      <c r="E791" s="31"/>
      <c r="F791" s="31"/>
      <c r="G791" s="154"/>
    </row>
    <row r="792" spans="1:7" ht="15.75" customHeight="1">
      <c r="A792" s="153"/>
      <c r="B792" s="31"/>
      <c r="C792" s="31"/>
      <c r="D792" s="31"/>
      <c r="E792" s="31"/>
      <c r="F792" s="31"/>
      <c r="G792" s="154"/>
    </row>
    <row r="793" spans="1:7" ht="15.75" customHeight="1">
      <c r="A793" s="153"/>
      <c r="B793" s="31"/>
      <c r="C793" s="31"/>
      <c r="D793" s="31"/>
      <c r="E793" s="31"/>
      <c r="F793" s="31"/>
      <c r="G793" s="154"/>
    </row>
    <row r="794" spans="1:7" ht="15.75" customHeight="1">
      <c r="A794" s="153"/>
      <c r="B794" s="31"/>
      <c r="C794" s="31"/>
      <c r="D794" s="31"/>
      <c r="E794" s="31"/>
      <c r="F794" s="31"/>
      <c r="G794" s="154"/>
    </row>
    <row r="795" spans="1:7" ht="15.75" customHeight="1">
      <c r="A795" s="153"/>
      <c r="B795" s="31"/>
      <c r="C795" s="31"/>
      <c r="D795" s="31"/>
      <c r="E795" s="31"/>
      <c r="F795" s="31"/>
      <c r="G795" s="154"/>
    </row>
    <row r="796" spans="1:7" ht="15.75" customHeight="1">
      <c r="A796" s="153"/>
      <c r="B796" s="31"/>
      <c r="C796" s="31"/>
      <c r="D796" s="31"/>
      <c r="E796" s="31"/>
      <c r="F796" s="31"/>
      <c r="G796" s="154"/>
    </row>
    <row r="797" spans="1:7" ht="15.75" customHeight="1">
      <c r="A797" s="153"/>
      <c r="B797" s="31"/>
      <c r="C797" s="31"/>
      <c r="D797" s="31"/>
      <c r="E797" s="31"/>
      <c r="F797" s="31"/>
      <c r="G797" s="154"/>
    </row>
    <row r="798" spans="1:7" ht="15.75" customHeight="1">
      <c r="A798" s="153"/>
      <c r="B798" s="31"/>
      <c r="C798" s="31"/>
      <c r="D798" s="31"/>
      <c r="E798" s="31"/>
      <c r="F798" s="31"/>
      <c r="G798" s="154"/>
    </row>
    <row r="799" spans="1:7" ht="15.75" customHeight="1">
      <c r="A799" s="153"/>
      <c r="B799" s="31"/>
      <c r="C799" s="31"/>
      <c r="D799" s="31"/>
      <c r="E799" s="31"/>
      <c r="F799" s="31"/>
      <c r="G799" s="154"/>
    </row>
    <row r="800" spans="1:7" ht="15.75" customHeight="1">
      <c r="A800" s="153"/>
      <c r="B800" s="31"/>
      <c r="C800" s="31"/>
      <c r="D800" s="31"/>
      <c r="E800" s="31"/>
      <c r="F800" s="31"/>
      <c r="G800" s="154"/>
    </row>
    <row r="801" spans="1:7" ht="15.75" customHeight="1">
      <c r="A801" s="153"/>
      <c r="B801" s="31"/>
      <c r="C801" s="31"/>
      <c r="D801" s="31"/>
      <c r="E801" s="31"/>
      <c r="F801" s="31"/>
      <c r="G801" s="154"/>
    </row>
    <row r="802" spans="1:7" ht="15.75" customHeight="1">
      <c r="A802" s="153"/>
      <c r="B802" s="31"/>
      <c r="C802" s="31"/>
      <c r="D802" s="31"/>
      <c r="E802" s="31"/>
      <c r="F802" s="31"/>
      <c r="G802" s="154"/>
    </row>
    <row r="803" spans="1:7" ht="15.75" customHeight="1">
      <c r="A803" s="153"/>
      <c r="B803" s="31"/>
      <c r="C803" s="31"/>
      <c r="D803" s="31"/>
      <c r="E803" s="31"/>
      <c r="F803" s="31"/>
      <c r="G803" s="154"/>
    </row>
    <row r="804" spans="1:7" ht="15.75" customHeight="1">
      <c r="A804" s="153"/>
      <c r="B804" s="31"/>
      <c r="C804" s="31"/>
      <c r="D804" s="31"/>
      <c r="E804" s="31"/>
      <c r="F804" s="31"/>
      <c r="G804" s="154"/>
    </row>
    <row r="805" spans="1:7" ht="15.75" customHeight="1">
      <c r="A805" s="153"/>
      <c r="B805" s="31"/>
      <c r="C805" s="31"/>
      <c r="D805" s="31"/>
      <c r="E805" s="31"/>
      <c r="F805" s="31"/>
      <c r="G805" s="154"/>
    </row>
    <row r="806" spans="1:7" ht="15.75" customHeight="1">
      <c r="A806" s="153"/>
      <c r="B806" s="31"/>
      <c r="C806" s="31"/>
      <c r="D806" s="31"/>
      <c r="E806" s="31"/>
      <c r="F806" s="31"/>
      <c r="G806" s="154"/>
    </row>
    <row r="807" spans="1:7" ht="15.75" customHeight="1">
      <c r="A807" s="153"/>
      <c r="B807" s="31"/>
      <c r="C807" s="31"/>
      <c r="D807" s="31"/>
      <c r="E807" s="31"/>
      <c r="F807" s="31"/>
      <c r="G807" s="154"/>
    </row>
    <row r="808" spans="1:7" ht="15.75" customHeight="1">
      <c r="A808" s="153"/>
      <c r="B808" s="31"/>
      <c r="C808" s="31"/>
      <c r="D808" s="31"/>
      <c r="E808" s="31"/>
      <c r="F808" s="31"/>
      <c r="G808" s="154"/>
    </row>
    <row r="809" spans="1:7" ht="15.75" customHeight="1">
      <c r="A809" s="153"/>
      <c r="B809" s="31"/>
      <c r="C809" s="31"/>
      <c r="D809" s="31"/>
      <c r="E809" s="31"/>
      <c r="F809" s="31"/>
      <c r="G809" s="154"/>
    </row>
    <row r="810" spans="1:7" ht="15.75" customHeight="1">
      <c r="A810" s="153"/>
      <c r="B810" s="31"/>
      <c r="C810" s="31"/>
      <c r="D810" s="31"/>
      <c r="E810" s="31"/>
      <c r="F810" s="31"/>
      <c r="G810" s="154"/>
    </row>
    <row r="811" spans="1:7" ht="15.75" customHeight="1">
      <c r="A811" s="153"/>
      <c r="B811" s="31"/>
      <c r="C811" s="31"/>
      <c r="D811" s="31"/>
      <c r="E811" s="31"/>
      <c r="F811" s="31"/>
      <c r="G811" s="154"/>
    </row>
    <row r="812" spans="1:7" ht="15.75" customHeight="1">
      <c r="A812" s="153"/>
      <c r="B812" s="31"/>
      <c r="C812" s="31"/>
      <c r="D812" s="31"/>
      <c r="E812" s="31"/>
      <c r="F812" s="31"/>
      <c r="G812" s="154"/>
    </row>
    <row r="813" spans="1:7" ht="15.75" customHeight="1">
      <c r="A813" s="153"/>
      <c r="B813" s="31"/>
      <c r="C813" s="31"/>
      <c r="D813" s="31"/>
      <c r="E813" s="31"/>
      <c r="F813" s="31"/>
      <c r="G813" s="154"/>
    </row>
    <row r="814" spans="1:7" ht="15.75" customHeight="1">
      <c r="A814" s="153"/>
      <c r="B814" s="31"/>
      <c r="C814" s="31"/>
      <c r="D814" s="31"/>
      <c r="E814" s="31"/>
      <c r="F814" s="31"/>
      <c r="G814" s="154"/>
    </row>
    <row r="815" spans="1:7" ht="15.75" customHeight="1">
      <c r="A815" s="153"/>
      <c r="B815" s="31"/>
      <c r="C815" s="31"/>
      <c r="D815" s="31"/>
      <c r="E815" s="31"/>
      <c r="F815" s="31"/>
      <c r="G815" s="154"/>
    </row>
    <row r="816" spans="1:7" ht="15.75" customHeight="1">
      <c r="A816" s="153"/>
      <c r="B816" s="31"/>
      <c r="C816" s="31"/>
      <c r="D816" s="31"/>
      <c r="E816" s="31"/>
      <c r="F816" s="31"/>
      <c r="G816" s="154"/>
    </row>
    <row r="817" spans="1:7" ht="15.75" customHeight="1">
      <c r="A817" s="153"/>
      <c r="B817" s="31"/>
      <c r="C817" s="31"/>
      <c r="D817" s="31"/>
      <c r="E817" s="31"/>
      <c r="F817" s="31"/>
      <c r="G817" s="154"/>
    </row>
    <row r="818" spans="1:7" ht="15.75" customHeight="1">
      <c r="A818" s="153"/>
      <c r="B818" s="31"/>
      <c r="C818" s="31"/>
      <c r="D818" s="31"/>
      <c r="E818" s="31"/>
      <c r="F818" s="31"/>
      <c r="G818" s="154"/>
    </row>
    <row r="819" spans="1:7" ht="15.75" customHeight="1">
      <c r="A819" s="153"/>
      <c r="B819" s="31"/>
      <c r="C819" s="31"/>
      <c r="D819" s="31"/>
      <c r="E819" s="31"/>
      <c r="F819" s="31"/>
      <c r="G819" s="154"/>
    </row>
    <row r="820" spans="1:7" ht="15.75" customHeight="1">
      <c r="A820" s="153"/>
      <c r="B820" s="31"/>
      <c r="C820" s="31"/>
      <c r="D820" s="31"/>
      <c r="E820" s="31"/>
      <c r="F820" s="31"/>
      <c r="G820" s="154"/>
    </row>
    <row r="821" spans="1:7" ht="15.75" customHeight="1">
      <c r="A821" s="153"/>
      <c r="B821" s="31"/>
      <c r="C821" s="31"/>
      <c r="D821" s="31"/>
      <c r="E821" s="31"/>
      <c r="F821" s="31"/>
      <c r="G821" s="154"/>
    </row>
    <row r="822" spans="1:7" ht="15.75" customHeight="1">
      <c r="A822" s="153"/>
      <c r="B822" s="31"/>
      <c r="C822" s="31"/>
      <c r="D822" s="31"/>
      <c r="E822" s="31"/>
      <c r="F822" s="31"/>
      <c r="G822" s="154"/>
    </row>
    <row r="823" spans="1:7" ht="15.75" customHeight="1">
      <c r="A823" s="153"/>
      <c r="B823" s="31"/>
      <c r="C823" s="31"/>
      <c r="D823" s="31"/>
      <c r="E823" s="31"/>
      <c r="F823" s="31"/>
      <c r="G823" s="154"/>
    </row>
    <row r="824" spans="1:7" ht="15.75" customHeight="1">
      <c r="A824" s="153"/>
      <c r="B824" s="31"/>
      <c r="C824" s="31"/>
      <c r="D824" s="31"/>
      <c r="E824" s="31"/>
      <c r="F824" s="31"/>
      <c r="G824" s="154"/>
    </row>
    <row r="825" spans="1:7" ht="15.75" customHeight="1">
      <c r="A825" s="153"/>
      <c r="B825" s="31"/>
      <c r="C825" s="31"/>
      <c r="D825" s="31"/>
      <c r="E825" s="31"/>
      <c r="F825" s="31"/>
      <c r="G825" s="154"/>
    </row>
    <row r="826" spans="1:7" ht="15.75" customHeight="1">
      <c r="A826" s="153"/>
      <c r="B826" s="31"/>
      <c r="C826" s="31"/>
      <c r="D826" s="31"/>
      <c r="E826" s="31"/>
      <c r="F826" s="31"/>
      <c r="G826" s="154"/>
    </row>
    <row r="827" spans="1:7" ht="15.75" customHeight="1">
      <c r="A827" s="153"/>
      <c r="B827" s="31"/>
      <c r="C827" s="31"/>
      <c r="D827" s="31"/>
      <c r="E827" s="31"/>
      <c r="F827" s="31"/>
      <c r="G827" s="154"/>
    </row>
    <row r="828" spans="1:7" ht="15.75" customHeight="1">
      <c r="A828" s="153"/>
      <c r="B828" s="31"/>
      <c r="C828" s="31"/>
      <c r="D828" s="31"/>
      <c r="E828" s="31"/>
      <c r="F828" s="31"/>
      <c r="G828" s="154"/>
    </row>
    <row r="829" spans="1:7" ht="15.75" customHeight="1">
      <c r="A829" s="153"/>
      <c r="B829" s="31"/>
      <c r="C829" s="31"/>
      <c r="D829" s="31"/>
      <c r="E829" s="31"/>
      <c r="F829" s="31"/>
      <c r="G829" s="154"/>
    </row>
    <row r="830" spans="1:7" ht="15.75" customHeight="1">
      <c r="A830" s="153"/>
      <c r="B830" s="31"/>
      <c r="C830" s="31"/>
      <c r="D830" s="31"/>
      <c r="E830" s="31"/>
      <c r="F830" s="31"/>
      <c r="G830" s="154"/>
    </row>
    <row r="831" spans="1:7" ht="15.75" customHeight="1">
      <c r="A831" s="153"/>
      <c r="B831" s="31"/>
      <c r="C831" s="31"/>
      <c r="D831" s="31"/>
      <c r="E831" s="31"/>
      <c r="F831" s="31"/>
      <c r="G831" s="154"/>
    </row>
    <row r="832" spans="1:7" ht="15.75" customHeight="1">
      <c r="A832" s="153"/>
      <c r="B832" s="31"/>
      <c r="C832" s="31"/>
      <c r="D832" s="31"/>
      <c r="E832" s="31"/>
      <c r="F832" s="31"/>
      <c r="G832" s="154"/>
    </row>
    <row r="833" spans="1:7" ht="15.75" customHeight="1">
      <c r="A833" s="153"/>
      <c r="B833" s="31"/>
      <c r="C833" s="31"/>
      <c r="D833" s="31"/>
      <c r="E833" s="31"/>
      <c r="F833" s="31"/>
      <c r="G833" s="154"/>
    </row>
    <row r="834" spans="1:7" ht="15.75" customHeight="1">
      <c r="A834" s="153"/>
      <c r="B834" s="31"/>
      <c r="C834" s="31"/>
      <c r="D834" s="31"/>
      <c r="E834" s="31"/>
      <c r="F834" s="31"/>
      <c r="G834" s="154"/>
    </row>
    <row r="835" spans="1:7" ht="15.75" customHeight="1">
      <c r="A835" s="153"/>
      <c r="B835" s="31"/>
      <c r="C835" s="31"/>
      <c r="D835" s="31"/>
      <c r="E835" s="31"/>
      <c r="F835" s="31"/>
      <c r="G835" s="154"/>
    </row>
    <row r="836" spans="1:7" ht="15.75" customHeight="1">
      <c r="A836" s="153"/>
      <c r="B836" s="31"/>
      <c r="C836" s="31"/>
      <c r="D836" s="31"/>
      <c r="E836" s="31"/>
      <c r="F836" s="31"/>
      <c r="G836" s="154"/>
    </row>
    <row r="837" spans="1:7" ht="15.75" customHeight="1">
      <c r="A837" s="153"/>
      <c r="B837" s="31"/>
      <c r="C837" s="31"/>
      <c r="D837" s="31"/>
      <c r="E837" s="31"/>
      <c r="F837" s="31"/>
      <c r="G837" s="154"/>
    </row>
    <row r="838" spans="1:7" ht="15.75" customHeight="1">
      <c r="A838" s="153"/>
      <c r="B838" s="31"/>
      <c r="C838" s="31"/>
      <c r="D838" s="31"/>
      <c r="E838" s="31"/>
      <c r="F838" s="31"/>
      <c r="G838" s="154"/>
    </row>
    <row r="839" spans="1:7" ht="15.75" customHeight="1">
      <c r="A839" s="153"/>
      <c r="B839" s="31"/>
      <c r="C839" s="31"/>
      <c r="D839" s="31"/>
      <c r="E839" s="31"/>
      <c r="F839" s="31"/>
      <c r="G839" s="154"/>
    </row>
    <row r="840" spans="1:7" ht="15.75" customHeight="1">
      <c r="A840" s="153"/>
      <c r="B840" s="31"/>
      <c r="C840" s="31"/>
      <c r="D840" s="31"/>
      <c r="E840" s="31"/>
      <c r="F840" s="31"/>
      <c r="G840" s="154"/>
    </row>
    <row r="841" spans="1:7" ht="15.75" customHeight="1">
      <c r="A841" s="153"/>
      <c r="B841" s="31"/>
      <c r="C841" s="31"/>
      <c r="D841" s="31"/>
      <c r="E841" s="31"/>
      <c r="F841" s="31"/>
      <c r="G841" s="154"/>
    </row>
    <row r="842" spans="1:7" ht="15.75" customHeight="1">
      <c r="A842" s="153"/>
      <c r="B842" s="31"/>
      <c r="C842" s="31"/>
      <c r="D842" s="31"/>
      <c r="E842" s="31"/>
      <c r="F842" s="31"/>
      <c r="G842" s="154"/>
    </row>
    <row r="843" spans="1:7" ht="15.75" customHeight="1">
      <c r="A843" s="153"/>
      <c r="B843" s="31"/>
      <c r="C843" s="31"/>
      <c r="D843" s="31"/>
      <c r="E843" s="31"/>
      <c r="F843" s="31"/>
      <c r="G843" s="154"/>
    </row>
    <row r="844" spans="1:7" ht="15.75" customHeight="1">
      <c r="A844" s="153"/>
      <c r="B844" s="31"/>
      <c r="C844" s="31"/>
      <c r="D844" s="31"/>
      <c r="E844" s="31"/>
      <c r="F844" s="31"/>
      <c r="G844" s="154"/>
    </row>
    <row r="845" spans="1:7" ht="15.75" customHeight="1">
      <c r="A845" s="153"/>
      <c r="B845" s="31"/>
      <c r="C845" s="31"/>
      <c r="D845" s="31"/>
      <c r="E845" s="31"/>
      <c r="F845" s="31"/>
      <c r="G845" s="154"/>
    </row>
    <row r="846" spans="1:7" ht="15.75" customHeight="1">
      <c r="A846" s="153"/>
      <c r="B846" s="31"/>
      <c r="C846" s="31"/>
      <c r="D846" s="31"/>
      <c r="E846" s="31"/>
      <c r="F846" s="31"/>
      <c r="G846" s="154"/>
    </row>
    <row r="847" spans="1:7" ht="15.75" customHeight="1">
      <c r="A847" s="153"/>
      <c r="B847" s="31"/>
      <c r="C847" s="31"/>
      <c r="D847" s="31"/>
      <c r="E847" s="31"/>
      <c r="F847" s="31"/>
      <c r="G847" s="154"/>
    </row>
    <row r="848" spans="1:7" ht="15.75" customHeight="1">
      <c r="A848" s="153"/>
      <c r="B848" s="31"/>
      <c r="C848" s="31"/>
      <c r="D848" s="31"/>
      <c r="E848" s="31"/>
      <c r="F848" s="31"/>
      <c r="G848" s="154"/>
    </row>
    <row r="849" spans="1:7" ht="15.75" customHeight="1">
      <c r="A849" s="153"/>
      <c r="B849" s="31"/>
      <c r="C849" s="31"/>
      <c r="D849" s="31"/>
      <c r="E849" s="31"/>
      <c r="F849" s="31"/>
      <c r="G849" s="154"/>
    </row>
    <row r="850" spans="1:7" ht="15.75" customHeight="1">
      <c r="A850" s="153"/>
      <c r="B850" s="31"/>
      <c r="C850" s="31"/>
      <c r="D850" s="31"/>
      <c r="E850" s="31"/>
      <c r="F850" s="31"/>
      <c r="G850" s="154"/>
    </row>
    <row r="851" spans="1:7" ht="15.75" customHeight="1">
      <c r="A851" s="153"/>
      <c r="B851" s="31"/>
      <c r="C851" s="31"/>
      <c r="D851" s="31"/>
      <c r="E851" s="31"/>
      <c r="F851" s="31"/>
      <c r="G851" s="154"/>
    </row>
    <row r="852" spans="1:7" ht="15.75" customHeight="1">
      <c r="A852" s="153"/>
      <c r="B852" s="31"/>
      <c r="C852" s="31"/>
      <c r="D852" s="31"/>
      <c r="E852" s="31"/>
      <c r="F852" s="31"/>
      <c r="G852" s="154"/>
    </row>
    <row r="853" spans="1:7" ht="15.75" customHeight="1">
      <c r="A853" s="153"/>
      <c r="B853" s="31"/>
      <c r="C853" s="31"/>
      <c r="D853" s="31"/>
      <c r="E853" s="31"/>
      <c r="F853" s="31"/>
      <c r="G853" s="154"/>
    </row>
    <row r="854" spans="1:7" ht="15.75" customHeight="1">
      <c r="A854" s="153"/>
      <c r="B854" s="31"/>
      <c r="C854" s="31"/>
      <c r="D854" s="31"/>
      <c r="E854" s="31"/>
      <c r="F854" s="31"/>
      <c r="G854" s="154"/>
    </row>
    <row r="855" spans="1:7" ht="15.75" customHeight="1">
      <c r="A855" s="153"/>
      <c r="B855" s="31"/>
      <c r="C855" s="31"/>
      <c r="D855" s="31"/>
      <c r="E855" s="31"/>
      <c r="F855" s="31"/>
      <c r="G855" s="154"/>
    </row>
    <row r="856" spans="1:7" ht="15.75" customHeight="1">
      <c r="A856" s="153"/>
      <c r="B856" s="31"/>
      <c r="C856" s="31"/>
      <c r="D856" s="31"/>
      <c r="E856" s="31"/>
      <c r="F856" s="31"/>
      <c r="G856" s="154"/>
    </row>
    <row r="857" spans="1:7" ht="15.75" customHeight="1">
      <c r="A857" s="153"/>
      <c r="B857" s="31"/>
      <c r="C857" s="31"/>
      <c r="D857" s="31"/>
      <c r="E857" s="31"/>
      <c r="F857" s="31"/>
      <c r="G857" s="154"/>
    </row>
    <row r="858" spans="1:7" ht="15.75" customHeight="1">
      <c r="A858" s="153"/>
      <c r="B858" s="31"/>
      <c r="C858" s="31"/>
      <c r="D858" s="31"/>
      <c r="E858" s="31"/>
      <c r="F858" s="31"/>
      <c r="G858" s="154"/>
    </row>
    <row r="859" spans="1:7" ht="15.75" customHeight="1">
      <c r="A859" s="153"/>
      <c r="B859" s="31"/>
      <c r="C859" s="31"/>
      <c r="D859" s="31"/>
      <c r="E859" s="31"/>
      <c r="F859" s="31"/>
      <c r="G859" s="154"/>
    </row>
    <row r="860" spans="1:7" ht="15.75" customHeight="1">
      <c r="A860" s="153"/>
      <c r="B860" s="31"/>
      <c r="C860" s="31"/>
      <c r="D860" s="31"/>
      <c r="E860" s="31"/>
      <c r="F860" s="31"/>
      <c r="G860" s="154"/>
    </row>
    <row r="861" spans="1:7" ht="15.75" customHeight="1">
      <c r="A861" s="153"/>
      <c r="B861" s="31"/>
      <c r="C861" s="31"/>
      <c r="D861" s="31"/>
      <c r="E861" s="31"/>
      <c r="F861" s="31"/>
      <c r="G861" s="154"/>
    </row>
    <row r="862" spans="1:7" ht="15.75" customHeight="1">
      <c r="A862" s="153"/>
      <c r="B862" s="31"/>
      <c r="C862" s="31"/>
      <c r="D862" s="31"/>
      <c r="E862" s="31"/>
      <c r="F862" s="31"/>
      <c r="G862" s="154"/>
    </row>
    <row r="863" spans="1:7" ht="15.75" customHeight="1">
      <c r="A863" s="153"/>
      <c r="B863" s="31"/>
      <c r="C863" s="31"/>
      <c r="D863" s="31"/>
      <c r="E863" s="31"/>
      <c r="F863" s="31"/>
      <c r="G863" s="154"/>
    </row>
    <row r="864" spans="1:7" ht="15.75" customHeight="1">
      <c r="A864" s="153"/>
      <c r="B864" s="31"/>
      <c r="C864" s="31"/>
      <c r="D864" s="31"/>
      <c r="E864" s="31"/>
      <c r="F864" s="31"/>
      <c r="G864" s="154"/>
    </row>
    <row r="865" spans="1:7" ht="15.75" customHeight="1">
      <c r="A865" s="153"/>
      <c r="B865" s="31"/>
      <c r="C865" s="31"/>
      <c r="D865" s="31"/>
      <c r="E865" s="31"/>
      <c r="F865" s="31"/>
      <c r="G865" s="154"/>
    </row>
    <row r="866" spans="1:7" ht="15.75" customHeight="1">
      <c r="A866" s="153"/>
      <c r="B866" s="31"/>
      <c r="C866" s="31"/>
      <c r="D866" s="31"/>
      <c r="E866" s="31"/>
      <c r="F866" s="31"/>
      <c r="G866" s="154"/>
    </row>
    <row r="867" spans="1:7" ht="15.75" customHeight="1">
      <c r="A867" s="153"/>
      <c r="B867" s="31"/>
      <c r="C867" s="31"/>
      <c r="D867" s="31"/>
      <c r="E867" s="31"/>
      <c r="F867" s="31"/>
      <c r="G867" s="154"/>
    </row>
    <row r="868" spans="1:7" ht="15.75" customHeight="1">
      <c r="A868" s="153"/>
      <c r="B868" s="31"/>
      <c r="C868" s="31"/>
      <c r="D868" s="31"/>
      <c r="E868" s="31"/>
      <c r="F868" s="31"/>
      <c r="G868" s="154"/>
    </row>
    <row r="869" spans="1:7" ht="15.75" customHeight="1">
      <c r="A869" s="153"/>
      <c r="B869" s="31"/>
      <c r="C869" s="31"/>
      <c r="D869" s="31"/>
      <c r="E869" s="31"/>
      <c r="F869" s="31"/>
      <c r="G869" s="154"/>
    </row>
    <row r="870" spans="1:7" ht="15.75" customHeight="1">
      <c r="A870" s="153"/>
      <c r="B870" s="31"/>
      <c r="C870" s="31"/>
      <c r="D870" s="31"/>
      <c r="E870" s="31"/>
      <c r="F870" s="31"/>
      <c r="G870" s="154"/>
    </row>
    <row r="871" spans="1:7" ht="15.75" customHeight="1">
      <c r="A871" s="153"/>
      <c r="B871" s="31"/>
      <c r="C871" s="31"/>
      <c r="D871" s="31"/>
      <c r="E871" s="31"/>
      <c r="F871" s="31"/>
      <c r="G871" s="154"/>
    </row>
    <row r="872" spans="1:7" ht="15.75" customHeight="1">
      <c r="A872" s="153"/>
      <c r="B872" s="31"/>
      <c r="C872" s="31"/>
      <c r="D872" s="31"/>
      <c r="E872" s="31"/>
      <c r="F872" s="31"/>
      <c r="G872" s="154"/>
    </row>
    <row r="873" spans="1:7" ht="15.75" customHeight="1">
      <c r="A873" s="153"/>
      <c r="B873" s="31"/>
      <c r="C873" s="31"/>
      <c r="D873" s="31"/>
      <c r="E873" s="31"/>
      <c r="F873" s="31"/>
      <c r="G873" s="154"/>
    </row>
    <row r="874" spans="1:7" ht="15.75" customHeight="1">
      <c r="A874" s="153"/>
      <c r="B874" s="31"/>
      <c r="C874" s="31"/>
      <c r="D874" s="31"/>
      <c r="E874" s="31"/>
      <c r="F874" s="31"/>
      <c r="G874" s="154"/>
    </row>
    <row r="875" spans="1:7" ht="15.75" customHeight="1">
      <c r="A875" s="153"/>
      <c r="B875" s="31"/>
      <c r="C875" s="31"/>
      <c r="D875" s="31"/>
      <c r="E875" s="31"/>
      <c r="F875" s="31"/>
      <c r="G875" s="154"/>
    </row>
    <row r="876" spans="1:7" ht="15.75" customHeight="1">
      <c r="A876" s="153"/>
      <c r="B876" s="31"/>
      <c r="C876" s="31"/>
      <c r="D876" s="31"/>
      <c r="E876" s="31"/>
      <c r="F876" s="31"/>
      <c r="G876" s="154"/>
    </row>
    <row r="877" spans="1:7" ht="15.75" customHeight="1">
      <c r="A877" s="153"/>
      <c r="B877" s="31"/>
      <c r="C877" s="31"/>
      <c r="D877" s="31"/>
      <c r="E877" s="31"/>
      <c r="F877" s="31"/>
      <c r="G877" s="154"/>
    </row>
    <row r="878" spans="1:7" ht="15.75" customHeight="1">
      <c r="A878" s="153"/>
      <c r="B878" s="31"/>
      <c r="C878" s="31"/>
      <c r="D878" s="31"/>
      <c r="E878" s="31"/>
      <c r="F878" s="31"/>
      <c r="G878" s="154"/>
    </row>
    <row r="879" spans="1:7" ht="15.75" customHeight="1">
      <c r="A879" s="153"/>
      <c r="B879" s="31"/>
      <c r="C879" s="31"/>
      <c r="D879" s="31"/>
      <c r="E879" s="31"/>
      <c r="F879" s="31"/>
      <c r="G879" s="154"/>
    </row>
    <row r="880" spans="1:7" ht="15.75" customHeight="1">
      <c r="A880" s="153"/>
      <c r="B880" s="31"/>
      <c r="C880" s="31"/>
      <c r="D880" s="31"/>
      <c r="E880" s="31"/>
      <c r="F880" s="31"/>
      <c r="G880" s="154"/>
    </row>
    <row r="881" spans="1:7" ht="15.75" customHeight="1">
      <c r="A881" s="153"/>
      <c r="B881" s="31"/>
      <c r="C881" s="31"/>
      <c r="D881" s="31"/>
      <c r="E881" s="31"/>
      <c r="F881" s="31"/>
      <c r="G881" s="154"/>
    </row>
    <row r="882" spans="1:7" ht="15.75" customHeight="1">
      <c r="A882" s="153"/>
      <c r="B882" s="31"/>
      <c r="C882" s="31"/>
      <c r="D882" s="31"/>
      <c r="E882" s="31"/>
      <c r="F882" s="31"/>
      <c r="G882" s="154"/>
    </row>
    <row r="883" spans="1:7" ht="15.75" customHeight="1">
      <c r="A883" s="153"/>
      <c r="B883" s="31"/>
      <c r="C883" s="31"/>
      <c r="D883" s="31"/>
      <c r="E883" s="31"/>
      <c r="F883" s="31"/>
      <c r="G883" s="154"/>
    </row>
    <row r="884" spans="1:7" ht="15.75" customHeight="1">
      <c r="A884" s="153"/>
      <c r="B884" s="31"/>
      <c r="C884" s="31"/>
      <c r="D884" s="31"/>
      <c r="E884" s="31"/>
      <c r="F884" s="31"/>
      <c r="G884" s="154"/>
    </row>
    <row r="885" spans="1:7" ht="15.75" customHeight="1">
      <c r="A885" s="153"/>
      <c r="B885" s="31"/>
      <c r="C885" s="31"/>
      <c r="D885" s="31"/>
      <c r="E885" s="31"/>
      <c r="F885" s="31"/>
      <c r="G885" s="154"/>
    </row>
    <row r="886" spans="1:7" ht="15.75" customHeight="1">
      <c r="A886" s="153"/>
      <c r="B886" s="31"/>
      <c r="C886" s="31"/>
      <c r="D886" s="31"/>
      <c r="E886" s="31"/>
      <c r="F886" s="31"/>
      <c r="G886" s="154"/>
    </row>
    <row r="887" spans="1:7" ht="15.75" customHeight="1">
      <c r="A887" s="153"/>
      <c r="B887" s="31"/>
      <c r="C887" s="31"/>
      <c r="D887" s="31"/>
      <c r="E887" s="31"/>
      <c r="F887" s="31"/>
      <c r="G887" s="154"/>
    </row>
    <row r="888" spans="1:7" ht="15.75" customHeight="1">
      <c r="A888" s="153"/>
      <c r="B888" s="31"/>
      <c r="C888" s="31"/>
      <c r="D888" s="31"/>
      <c r="E888" s="31"/>
      <c r="F888" s="31"/>
      <c r="G888" s="154"/>
    </row>
    <row r="889" spans="1:7" ht="15.75" customHeight="1">
      <c r="A889" s="153"/>
      <c r="B889" s="31"/>
      <c r="C889" s="31"/>
      <c r="D889" s="31"/>
      <c r="E889" s="31"/>
      <c r="F889" s="31"/>
      <c r="G889" s="154"/>
    </row>
    <row r="890" spans="1:7" ht="15.75" customHeight="1">
      <c r="A890" s="153"/>
      <c r="B890" s="31"/>
      <c r="C890" s="31"/>
      <c r="D890" s="31"/>
      <c r="E890" s="31"/>
      <c r="F890" s="31"/>
      <c r="G890" s="154"/>
    </row>
    <row r="891" spans="1:7" ht="15.75" customHeight="1">
      <c r="A891" s="153"/>
      <c r="B891" s="31"/>
      <c r="C891" s="31"/>
      <c r="D891" s="31"/>
      <c r="E891" s="31"/>
      <c r="F891" s="31"/>
      <c r="G891" s="154"/>
    </row>
    <row r="892" spans="1:7" ht="15.75" customHeight="1">
      <c r="A892" s="153"/>
      <c r="B892" s="31"/>
      <c r="C892" s="31"/>
      <c r="D892" s="31"/>
      <c r="E892" s="31"/>
      <c r="F892" s="31"/>
      <c r="G892" s="154"/>
    </row>
    <row r="893" spans="1:7" ht="15.75" customHeight="1">
      <c r="A893" s="153"/>
      <c r="B893" s="31"/>
      <c r="C893" s="31"/>
      <c r="D893" s="31"/>
      <c r="E893" s="31"/>
      <c r="F893" s="31"/>
      <c r="G893" s="154"/>
    </row>
    <row r="894" spans="1:7" ht="15.75" customHeight="1">
      <c r="A894" s="153"/>
      <c r="B894" s="31"/>
      <c r="C894" s="31"/>
      <c r="D894" s="31"/>
      <c r="E894" s="31"/>
      <c r="F894" s="31"/>
      <c r="G894" s="154"/>
    </row>
    <row r="895" spans="1:7" ht="15.75" customHeight="1">
      <c r="A895" s="153"/>
      <c r="B895" s="31"/>
      <c r="C895" s="31"/>
      <c r="D895" s="31"/>
      <c r="E895" s="31"/>
      <c r="F895" s="31"/>
      <c r="G895" s="154"/>
    </row>
    <row r="896" spans="1:7" ht="15.75" customHeight="1">
      <c r="A896" s="153"/>
      <c r="B896" s="31"/>
      <c r="C896" s="31"/>
      <c r="D896" s="31"/>
      <c r="E896" s="31"/>
      <c r="F896" s="31"/>
      <c r="G896" s="154"/>
    </row>
    <row r="897" spans="1:7" ht="15.75" customHeight="1">
      <c r="A897" s="153"/>
      <c r="B897" s="31"/>
      <c r="C897" s="31"/>
      <c r="D897" s="31"/>
      <c r="E897" s="31"/>
      <c r="F897" s="31"/>
      <c r="G897" s="154"/>
    </row>
    <row r="898" spans="1:7" ht="15.75" customHeight="1">
      <c r="A898" s="153"/>
      <c r="B898" s="31"/>
      <c r="C898" s="31"/>
      <c r="D898" s="31"/>
      <c r="E898" s="31"/>
      <c r="F898" s="31"/>
      <c r="G898" s="154"/>
    </row>
    <row r="899" spans="1:7" ht="15.75" customHeight="1">
      <c r="A899" s="153"/>
      <c r="B899" s="31"/>
      <c r="C899" s="31"/>
      <c r="D899" s="31"/>
      <c r="E899" s="31"/>
      <c r="F899" s="31"/>
      <c r="G899" s="154"/>
    </row>
    <row r="900" spans="1:7" ht="15.75" customHeight="1">
      <c r="A900" s="153"/>
      <c r="B900" s="31"/>
      <c r="C900" s="31"/>
      <c r="D900" s="31"/>
      <c r="E900" s="31"/>
      <c r="F900" s="31"/>
      <c r="G900" s="154"/>
    </row>
    <row r="901" spans="1:7" ht="15.75" customHeight="1">
      <c r="A901" s="153"/>
      <c r="B901" s="31"/>
      <c r="C901" s="31"/>
      <c r="D901" s="31"/>
      <c r="E901" s="31"/>
      <c r="F901" s="31"/>
      <c r="G901" s="154"/>
    </row>
    <row r="902" spans="1:7" ht="15.75" customHeight="1">
      <c r="A902" s="153"/>
      <c r="B902" s="31"/>
      <c r="C902" s="31"/>
      <c r="D902" s="31"/>
      <c r="E902" s="31"/>
      <c r="F902" s="31"/>
      <c r="G902" s="154"/>
    </row>
    <row r="903" spans="1:7" ht="15.75" customHeight="1">
      <c r="A903" s="153"/>
      <c r="B903" s="31"/>
      <c r="C903" s="31"/>
      <c r="D903" s="31"/>
      <c r="E903" s="31"/>
      <c r="F903" s="31"/>
      <c r="G903" s="154"/>
    </row>
    <row r="904" spans="1:7" ht="15.75" customHeight="1">
      <c r="A904" s="153"/>
      <c r="B904" s="31"/>
      <c r="C904" s="31"/>
      <c r="D904" s="31"/>
      <c r="E904" s="31"/>
      <c r="F904" s="31"/>
      <c r="G904" s="154"/>
    </row>
    <row r="905" spans="1:7" ht="15.75" customHeight="1">
      <c r="A905" s="153"/>
      <c r="B905" s="31"/>
      <c r="C905" s="31"/>
      <c r="D905" s="31"/>
      <c r="E905" s="31"/>
      <c r="F905" s="31"/>
      <c r="G905" s="154"/>
    </row>
    <row r="906" spans="1:7" ht="15.75" customHeight="1">
      <c r="A906" s="153"/>
      <c r="B906" s="31"/>
      <c r="C906" s="31"/>
      <c r="D906" s="31"/>
      <c r="E906" s="31"/>
      <c r="F906" s="31"/>
      <c r="G906" s="154"/>
    </row>
    <row r="907" spans="1:7" ht="15.75" customHeight="1">
      <c r="A907" s="153"/>
      <c r="B907" s="31"/>
      <c r="C907" s="31"/>
      <c r="D907" s="31"/>
      <c r="E907" s="31"/>
      <c r="F907" s="31"/>
      <c r="G907" s="154"/>
    </row>
    <row r="908" spans="1:7" ht="15.75" customHeight="1">
      <c r="A908" s="153"/>
      <c r="B908" s="31"/>
      <c r="C908" s="31"/>
      <c r="D908" s="31"/>
      <c r="E908" s="31"/>
      <c r="F908" s="31"/>
      <c r="G908" s="154"/>
    </row>
    <row r="909" spans="1:7" ht="15.75" customHeight="1">
      <c r="A909" s="153"/>
      <c r="B909" s="31"/>
      <c r="C909" s="31"/>
      <c r="D909" s="31"/>
      <c r="E909" s="31"/>
      <c r="F909" s="31"/>
      <c r="G909" s="154"/>
    </row>
    <row r="910" spans="1:7" ht="15.75" customHeight="1">
      <c r="A910" s="153"/>
      <c r="B910" s="31"/>
      <c r="C910" s="31"/>
      <c r="D910" s="31"/>
      <c r="E910" s="31"/>
      <c r="F910" s="31"/>
      <c r="G910" s="154"/>
    </row>
    <row r="911" spans="1:7" ht="15.75" customHeight="1">
      <c r="A911" s="153"/>
      <c r="B911" s="31"/>
      <c r="C911" s="31"/>
      <c r="D911" s="31"/>
      <c r="E911" s="31"/>
      <c r="F911" s="31"/>
      <c r="G911" s="154"/>
    </row>
    <row r="912" spans="1:7" ht="15.75" customHeight="1">
      <c r="A912" s="153"/>
      <c r="B912" s="31"/>
      <c r="C912" s="31"/>
      <c r="D912" s="31"/>
      <c r="E912" s="31"/>
      <c r="F912" s="31"/>
      <c r="G912" s="154"/>
    </row>
    <row r="913" spans="1:7" ht="15.75" customHeight="1">
      <c r="A913" s="153"/>
      <c r="B913" s="31"/>
      <c r="C913" s="31"/>
      <c r="D913" s="31"/>
      <c r="E913" s="31"/>
      <c r="F913" s="31"/>
      <c r="G913" s="154"/>
    </row>
    <row r="914" spans="1:7" ht="15.75" customHeight="1">
      <c r="A914" s="153"/>
      <c r="B914" s="31"/>
      <c r="C914" s="31"/>
      <c r="D914" s="31"/>
      <c r="E914" s="31"/>
      <c r="F914" s="31"/>
      <c r="G914" s="154"/>
    </row>
    <row r="915" spans="1:7" ht="15.75" customHeight="1">
      <c r="A915" s="153"/>
      <c r="B915" s="31"/>
      <c r="C915" s="31"/>
      <c r="D915" s="31"/>
      <c r="E915" s="31"/>
      <c r="F915" s="31"/>
      <c r="G915" s="154"/>
    </row>
    <row r="916" spans="1:7" ht="15.75" customHeight="1">
      <c r="A916" s="153"/>
      <c r="B916" s="31"/>
      <c r="C916" s="31"/>
      <c r="D916" s="31"/>
      <c r="E916" s="31"/>
      <c r="F916" s="31"/>
      <c r="G916" s="154"/>
    </row>
    <row r="917" spans="1:7" ht="15.75" customHeight="1">
      <c r="A917" s="153"/>
      <c r="B917" s="31"/>
      <c r="C917" s="31"/>
      <c r="D917" s="31"/>
      <c r="E917" s="31"/>
      <c r="F917" s="31"/>
      <c r="G917" s="154"/>
    </row>
    <row r="918" spans="1:7" ht="15.75" customHeight="1">
      <c r="A918" s="153"/>
      <c r="B918" s="31"/>
      <c r="C918" s="31"/>
      <c r="D918" s="31"/>
      <c r="E918" s="31"/>
      <c r="F918" s="31"/>
      <c r="G918" s="154"/>
    </row>
    <row r="919" spans="1:7" ht="15.75" customHeight="1">
      <c r="A919" s="153"/>
      <c r="B919" s="31"/>
      <c r="C919" s="31"/>
      <c r="D919" s="31"/>
      <c r="E919" s="31"/>
      <c r="F919" s="31"/>
      <c r="G919" s="154"/>
    </row>
    <row r="920" spans="1:7" ht="15.75" customHeight="1">
      <c r="A920" s="153"/>
      <c r="B920" s="31"/>
      <c r="C920" s="31"/>
      <c r="D920" s="31"/>
      <c r="E920" s="31"/>
      <c r="F920" s="31"/>
      <c r="G920" s="154"/>
    </row>
    <row r="921" spans="1:7" ht="15.75" customHeight="1">
      <c r="A921" s="153"/>
      <c r="B921" s="31"/>
      <c r="C921" s="31"/>
      <c r="D921" s="31"/>
      <c r="E921" s="31"/>
      <c r="F921" s="31"/>
      <c r="G921" s="154"/>
    </row>
    <row r="922" spans="1:7" ht="15.75" customHeight="1">
      <c r="A922" s="153"/>
      <c r="B922" s="31"/>
      <c r="C922" s="31"/>
      <c r="D922" s="31"/>
      <c r="E922" s="31"/>
      <c r="F922" s="31"/>
      <c r="G922" s="154"/>
    </row>
    <row r="923" spans="1:7" ht="15.75" customHeight="1">
      <c r="A923" s="153"/>
      <c r="B923" s="31"/>
      <c r="C923" s="31"/>
      <c r="D923" s="31"/>
      <c r="E923" s="31"/>
      <c r="F923" s="31"/>
      <c r="G923" s="154"/>
    </row>
    <row r="924" spans="1:7" ht="15.75" customHeight="1">
      <c r="A924" s="153"/>
      <c r="B924" s="31"/>
      <c r="C924" s="31"/>
      <c r="D924" s="31"/>
      <c r="E924" s="31"/>
      <c r="F924" s="31"/>
      <c r="G924" s="154"/>
    </row>
    <row r="925" spans="1:7" ht="15.75" customHeight="1">
      <c r="A925" s="153"/>
      <c r="B925" s="31"/>
      <c r="C925" s="31"/>
      <c r="D925" s="31"/>
      <c r="E925" s="31"/>
      <c r="F925" s="31"/>
      <c r="G925" s="154"/>
    </row>
    <row r="926" spans="1:7" ht="15.75" customHeight="1">
      <c r="A926" s="153"/>
      <c r="B926" s="31"/>
      <c r="C926" s="31"/>
      <c r="D926" s="31"/>
      <c r="E926" s="31"/>
      <c r="F926" s="31"/>
      <c r="G926" s="154"/>
    </row>
    <row r="927" spans="1:7" ht="15.75" customHeight="1">
      <c r="A927" s="153"/>
      <c r="B927" s="31"/>
      <c r="C927" s="31"/>
      <c r="D927" s="31"/>
      <c r="E927" s="31"/>
      <c r="F927" s="31"/>
      <c r="G927" s="154"/>
    </row>
    <row r="928" spans="1:7" ht="15.75" customHeight="1">
      <c r="A928" s="153"/>
      <c r="B928" s="31"/>
      <c r="C928" s="31"/>
      <c r="D928" s="31"/>
      <c r="E928" s="31"/>
      <c r="F928" s="31"/>
      <c r="G928" s="154"/>
    </row>
    <row r="929" spans="1:7" ht="15.75" customHeight="1">
      <c r="A929" s="153"/>
      <c r="B929" s="31"/>
      <c r="C929" s="31"/>
      <c r="D929" s="31"/>
      <c r="E929" s="31"/>
      <c r="F929" s="31"/>
      <c r="G929" s="154"/>
    </row>
    <row r="930" spans="1:7" ht="15.75" customHeight="1">
      <c r="A930" s="153"/>
      <c r="B930" s="31"/>
      <c r="C930" s="31"/>
      <c r="D930" s="31"/>
      <c r="E930" s="31"/>
      <c r="F930" s="31"/>
      <c r="G930" s="154"/>
    </row>
    <row r="931" spans="1:7" ht="15.75" customHeight="1">
      <c r="A931" s="153"/>
      <c r="B931" s="31"/>
      <c r="C931" s="31"/>
      <c r="D931" s="31"/>
      <c r="E931" s="31"/>
      <c r="F931" s="31"/>
      <c r="G931" s="154"/>
    </row>
    <row r="932" spans="1:7" ht="15.75" customHeight="1">
      <c r="A932" s="153"/>
      <c r="B932" s="31"/>
      <c r="C932" s="31"/>
      <c r="D932" s="31"/>
      <c r="E932" s="31"/>
      <c r="F932" s="31"/>
      <c r="G932" s="154"/>
    </row>
    <row r="933" spans="1:7" ht="15.75" customHeight="1">
      <c r="A933" s="153"/>
      <c r="B933" s="31"/>
      <c r="C933" s="31"/>
      <c r="D933" s="31"/>
      <c r="E933" s="31"/>
      <c r="F933" s="31"/>
      <c r="G933" s="154"/>
    </row>
    <row r="934" spans="1:7" ht="15.75" customHeight="1">
      <c r="A934" s="153"/>
      <c r="B934" s="31"/>
      <c r="C934" s="31"/>
      <c r="D934" s="31"/>
      <c r="E934" s="31"/>
      <c r="F934" s="31"/>
      <c r="G934" s="154"/>
    </row>
    <row r="935" spans="1:7" ht="15.75" customHeight="1">
      <c r="A935" s="153"/>
      <c r="B935" s="31"/>
      <c r="C935" s="31"/>
      <c r="D935" s="31"/>
      <c r="E935" s="31"/>
      <c r="F935" s="31"/>
      <c r="G935" s="154"/>
    </row>
    <row r="936" spans="1:7" ht="15.75" customHeight="1">
      <c r="A936" s="153"/>
      <c r="B936" s="31"/>
      <c r="C936" s="31"/>
      <c r="D936" s="31"/>
      <c r="E936" s="31"/>
      <c r="F936" s="31"/>
      <c r="G936" s="154"/>
    </row>
    <row r="937" spans="1:7" ht="15.75" customHeight="1">
      <c r="A937" s="153"/>
      <c r="B937" s="31"/>
      <c r="C937" s="31"/>
      <c r="D937" s="31"/>
      <c r="E937" s="31"/>
      <c r="F937" s="31"/>
      <c r="G937" s="154"/>
    </row>
    <row r="938" spans="1:7" ht="15.75" customHeight="1">
      <c r="A938" s="153"/>
      <c r="B938" s="31"/>
      <c r="C938" s="31"/>
      <c r="D938" s="31"/>
      <c r="E938" s="31"/>
      <c r="F938" s="31"/>
      <c r="G938" s="154"/>
    </row>
    <row r="939" spans="1:7" ht="15.75" customHeight="1">
      <c r="A939" s="153"/>
      <c r="B939" s="31"/>
      <c r="C939" s="31"/>
      <c r="D939" s="31"/>
      <c r="E939" s="31"/>
      <c r="F939" s="31"/>
      <c r="G939" s="154"/>
    </row>
    <row r="940" spans="1:7" ht="15.75" customHeight="1">
      <c r="A940" s="153"/>
      <c r="B940" s="31"/>
      <c r="C940" s="31"/>
      <c r="D940" s="31"/>
      <c r="E940" s="31"/>
      <c r="F940" s="31"/>
      <c r="G940" s="154"/>
    </row>
    <row r="941" spans="1:7" ht="15.75" customHeight="1">
      <c r="A941" s="153"/>
      <c r="B941" s="31"/>
      <c r="C941" s="31"/>
      <c r="D941" s="31"/>
      <c r="E941" s="31"/>
      <c r="F941" s="31"/>
      <c r="G941" s="154"/>
    </row>
    <row r="942" spans="1:7" ht="15.75" customHeight="1">
      <c r="A942" s="153"/>
      <c r="B942" s="31"/>
      <c r="C942" s="31"/>
      <c r="D942" s="31"/>
      <c r="E942" s="31"/>
      <c r="F942" s="31"/>
      <c r="G942" s="154"/>
    </row>
    <row r="943" spans="1:7" ht="15.75" customHeight="1">
      <c r="A943" s="153"/>
      <c r="B943" s="31"/>
      <c r="C943" s="31"/>
      <c r="D943" s="31"/>
      <c r="E943" s="31"/>
      <c r="F943" s="31"/>
      <c r="G943" s="154"/>
    </row>
    <row r="944" spans="1:7" ht="15.75" customHeight="1">
      <c r="A944" s="153"/>
      <c r="B944" s="31"/>
      <c r="C944" s="31"/>
      <c r="D944" s="31"/>
      <c r="E944" s="31"/>
      <c r="F944" s="31"/>
      <c r="G944" s="154"/>
    </row>
    <row r="945" spans="1:7" ht="15.75" customHeight="1">
      <c r="A945" s="153"/>
      <c r="B945" s="31"/>
      <c r="C945" s="31"/>
      <c r="D945" s="31"/>
      <c r="E945" s="31"/>
      <c r="F945" s="31"/>
      <c r="G945" s="154"/>
    </row>
    <row r="946" spans="1:7" ht="15.75" customHeight="1">
      <c r="A946" s="153"/>
      <c r="B946" s="31"/>
      <c r="C946" s="31"/>
      <c r="D946" s="31"/>
      <c r="E946" s="31"/>
      <c r="F946" s="31"/>
      <c r="G946" s="154"/>
    </row>
    <row r="947" spans="1:7" ht="15.75" customHeight="1">
      <c r="A947" s="153"/>
      <c r="B947" s="31"/>
      <c r="C947" s="31"/>
      <c r="D947" s="31"/>
      <c r="E947" s="31"/>
      <c r="F947" s="31"/>
      <c r="G947" s="154"/>
    </row>
    <row r="948" spans="1:7" ht="15.75" customHeight="1">
      <c r="A948" s="153"/>
      <c r="B948" s="31"/>
      <c r="C948" s="31"/>
      <c r="D948" s="31"/>
      <c r="E948" s="31"/>
      <c r="F948" s="31"/>
      <c r="G948" s="154"/>
    </row>
    <row r="949" spans="1:7" ht="15.75" customHeight="1">
      <c r="A949" s="153"/>
      <c r="B949" s="31"/>
      <c r="C949" s="31"/>
      <c r="D949" s="31"/>
      <c r="E949" s="31"/>
      <c r="F949" s="31"/>
      <c r="G949" s="154"/>
    </row>
    <row r="950" spans="1:7" ht="15.75" customHeight="1">
      <c r="A950" s="153"/>
      <c r="B950" s="31"/>
      <c r="C950" s="31"/>
      <c r="D950" s="31"/>
      <c r="E950" s="31"/>
      <c r="F950" s="31"/>
      <c r="G950" s="154"/>
    </row>
    <row r="951" spans="1:7" ht="15.75" customHeight="1">
      <c r="A951" s="153"/>
      <c r="B951" s="31"/>
      <c r="C951" s="31"/>
      <c r="D951" s="31"/>
      <c r="E951" s="31"/>
      <c r="F951" s="31"/>
      <c r="G951" s="154"/>
    </row>
    <row r="952" spans="1:7" ht="15.75" customHeight="1">
      <c r="A952" s="153"/>
      <c r="B952" s="31"/>
      <c r="C952" s="31"/>
      <c r="D952" s="31"/>
      <c r="E952" s="31"/>
      <c r="F952" s="31"/>
      <c r="G952" s="154"/>
    </row>
    <row r="953" spans="1:7" ht="15.75" customHeight="1">
      <c r="A953" s="153"/>
      <c r="B953" s="31"/>
      <c r="C953" s="31"/>
      <c r="D953" s="31"/>
      <c r="E953" s="31"/>
      <c r="F953" s="31"/>
      <c r="G953" s="154"/>
    </row>
    <row r="954" spans="1:7" ht="15.75" customHeight="1">
      <c r="A954" s="153"/>
      <c r="B954" s="31"/>
      <c r="C954" s="31"/>
      <c r="D954" s="31"/>
      <c r="E954" s="31"/>
      <c r="F954" s="31"/>
      <c r="G954" s="154"/>
    </row>
    <row r="955" spans="1:7" ht="15.75" customHeight="1">
      <c r="A955" s="153"/>
      <c r="B955" s="31"/>
      <c r="C955" s="31"/>
      <c r="D955" s="31"/>
      <c r="E955" s="31"/>
      <c r="F955" s="31"/>
      <c r="G955" s="154"/>
    </row>
    <row r="956" spans="1:7" ht="15.75" customHeight="1">
      <c r="A956" s="153"/>
      <c r="B956" s="31"/>
      <c r="C956" s="31"/>
      <c r="D956" s="31"/>
      <c r="E956" s="31"/>
      <c r="F956" s="31"/>
      <c r="G956" s="154"/>
    </row>
    <row r="957" spans="1:7" ht="15.75" customHeight="1">
      <c r="A957" s="153"/>
      <c r="B957" s="31"/>
      <c r="C957" s="31"/>
      <c r="D957" s="31"/>
      <c r="E957" s="31"/>
      <c r="F957" s="31"/>
      <c r="G957" s="154"/>
    </row>
    <row r="958" spans="1:7" ht="15.75" customHeight="1">
      <c r="A958" s="153"/>
      <c r="B958" s="31"/>
      <c r="C958" s="31"/>
      <c r="D958" s="31"/>
      <c r="E958" s="31"/>
      <c r="F958" s="31"/>
      <c r="G958" s="154"/>
    </row>
    <row r="959" spans="1:7" ht="15.75" customHeight="1">
      <c r="A959" s="153"/>
      <c r="B959" s="31"/>
      <c r="C959" s="31"/>
      <c r="D959" s="31"/>
      <c r="E959" s="31"/>
      <c r="F959" s="31"/>
      <c r="G959" s="154"/>
    </row>
    <row r="960" spans="1:7" ht="15.75" customHeight="1">
      <c r="A960" s="153"/>
      <c r="B960" s="31"/>
      <c r="C960" s="31"/>
      <c r="D960" s="31"/>
      <c r="E960" s="31"/>
      <c r="F960" s="31"/>
      <c r="G960" s="154"/>
    </row>
    <row r="961" spans="1:7" ht="15.75" customHeight="1">
      <c r="A961" s="153"/>
      <c r="B961" s="31"/>
      <c r="C961" s="31"/>
      <c r="D961" s="31"/>
      <c r="E961" s="31"/>
      <c r="F961" s="31"/>
      <c r="G961" s="154"/>
    </row>
    <row r="962" spans="1:7" ht="15.75" customHeight="1">
      <c r="A962" s="153"/>
      <c r="B962" s="31"/>
      <c r="C962" s="31"/>
      <c r="D962" s="31"/>
      <c r="E962" s="31"/>
      <c r="F962" s="31"/>
      <c r="G962" s="154"/>
    </row>
    <row r="963" spans="1:7" ht="15.75" customHeight="1">
      <c r="A963" s="153"/>
      <c r="B963" s="31"/>
      <c r="C963" s="31"/>
      <c r="D963" s="31"/>
      <c r="E963" s="31"/>
      <c r="F963" s="31"/>
      <c r="G963" s="154"/>
    </row>
    <row r="964" spans="1:7" ht="15.75" customHeight="1">
      <c r="A964" s="153"/>
      <c r="B964" s="31"/>
      <c r="C964" s="31"/>
      <c r="D964" s="31"/>
      <c r="E964" s="31"/>
      <c r="F964" s="31"/>
      <c r="G964" s="154"/>
    </row>
    <row r="965" spans="1:7" ht="15.75" customHeight="1">
      <c r="A965" s="153"/>
      <c r="B965" s="31"/>
      <c r="C965" s="31"/>
      <c r="D965" s="31"/>
      <c r="E965" s="31"/>
      <c r="F965" s="31"/>
      <c r="G965" s="154"/>
    </row>
    <row r="966" spans="1:7" ht="15.75" customHeight="1">
      <c r="A966" s="153"/>
      <c r="B966" s="31"/>
      <c r="C966" s="31"/>
      <c r="D966" s="31"/>
      <c r="E966" s="31"/>
      <c r="F966" s="31"/>
      <c r="G966" s="154"/>
    </row>
    <row r="967" spans="1:7" ht="15.75" customHeight="1">
      <c r="A967" s="153"/>
      <c r="B967" s="31"/>
      <c r="C967" s="31"/>
      <c r="D967" s="31"/>
      <c r="E967" s="31"/>
      <c r="F967" s="31"/>
      <c r="G967" s="154"/>
    </row>
    <row r="968" spans="1:7" ht="15.75" customHeight="1">
      <c r="A968" s="153"/>
      <c r="B968" s="31"/>
      <c r="C968" s="31"/>
      <c r="D968" s="31"/>
      <c r="E968" s="31"/>
      <c r="F968" s="31"/>
      <c r="G968" s="154"/>
    </row>
    <row r="969" spans="1:7" ht="15.75" customHeight="1">
      <c r="A969" s="153"/>
      <c r="B969" s="31"/>
      <c r="C969" s="31"/>
      <c r="D969" s="31"/>
      <c r="E969" s="31"/>
      <c r="F969" s="31"/>
      <c r="G969" s="154"/>
    </row>
    <row r="970" spans="1:7" ht="15.75" customHeight="1">
      <c r="A970" s="153"/>
      <c r="B970" s="31"/>
      <c r="C970" s="31"/>
      <c r="D970" s="31"/>
      <c r="E970" s="31"/>
      <c r="F970" s="31"/>
      <c r="G970" s="154"/>
    </row>
    <row r="971" spans="1:7" ht="15.75" customHeight="1">
      <c r="A971" s="153"/>
      <c r="B971" s="31"/>
      <c r="C971" s="31"/>
      <c r="D971" s="31"/>
      <c r="E971" s="31"/>
      <c r="F971" s="31"/>
      <c r="G971" s="154"/>
    </row>
    <row r="972" spans="1:7" ht="15.75" customHeight="1">
      <c r="A972" s="153"/>
      <c r="B972" s="31"/>
      <c r="C972" s="31"/>
      <c r="D972" s="31"/>
      <c r="E972" s="31"/>
      <c r="F972" s="31"/>
      <c r="G972" s="154"/>
    </row>
    <row r="973" spans="1:7" ht="15.75" customHeight="1">
      <c r="A973" s="153"/>
      <c r="B973" s="31"/>
      <c r="C973" s="31"/>
      <c r="D973" s="31"/>
      <c r="E973" s="31"/>
      <c r="F973" s="31"/>
      <c r="G973" s="154"/>
    </row>
    <row r="974" spans="1:7" ht="15.75" customHeight="1">
      <c r="A974" s="153"/>
      <c r="B974" s="31"/>
      <c r="C974" s="31"/>
      <c r="D974" s="31"/>
      <c r="E974" s="31"/>
      <c r="F974" s="31"/>
      <c r="G974" s="154"/>
    </row>
    <row r="975" spans="1:7" ht="15.75" customHeight="1">
      <c r="A975" s="153"/>
      <c r="B975" s="31"/>
      <c r="C975" s="31"/>
      <c r="D975" s="31"/>
      <c r="E975" s="31"/>
      <c r="F975" s="31"/>
      <c r="G975" s="154"/>
    </row>
    <row r="976" spans="1:7" ht="15.75" customHeight="1">
      <c r="A976" s="153"/>
      <c r="B976" s="31"/>
      <c r="C976" s="31"/>
      <c r="D976" s="31"/>
      <c r="E976" s="31"/>
      <c r="F976" s="31"/>
      <c r="G976" s="154"/>
    </row>
    <row r="977" spans="1:7" ht="15.75" customHeight="1">
      <c r="A977" s="153"/>
      <c r="B977" s="31"/>
      <c r="C977" s="31"/>
      <c r="D977" s="31"/>
      <c r="E977" s="31"/>
      <c r="F977" s="31"/>
      <c r="G977" s="154"/>
    </row>
    <row r="978" spans="1:7" ht="15.75" customHeight="1">
      <c r="A978" s="153"/>
      <c r="B978" s="31"/>
      <c r="C978" s="31"/>
      <c r="D978" s="31"/>
      <c r="E978" s="31"/>
      <c r="F978" s="31"/>
      <c r="G978" s="154"/>
    </row>
    <row r="979" spans="1:7" ht="15.75" customHeight="1">
      <c r="A979" s="153"/>
      <c r="B979" s="31"/>
      <c r="C979" s="31"/>
      <c r="D979" s="31"/>
      <c r="E979" s="31"/>
      <c r="F979" s="31"/>
      <c r="G979" s="154"/>
    </row>
    <row r="980" spans="1:7" ht="15.75" customHeight="1">
      <c r="A980" s="153"/>
      <c r="B980" s="31"/>
      <c r="C980" s="31"/>
      <c r="D980" s="31"/>
      <c r="E980" s="31"/>
      <c r="F980" s="31"/>
      <c r="G980" s="154"/>
    </row>
    <row r="981" spans="1:7" ht="15.75" customHeight="1">
      <c r="A981" s="153"/>
      <c r="B981" s="31"/>
      <c r="C981" s="31"/>
      <c r="D981" s="31"/>
      <c r="E981" s="31"/>
      <c r="F981" s="31"/>
      <c r="G981" s="154"/>
    </row>
    <row r="982" spans="1:7" ht="15.75" customHeight="1">
      <c r="A982" s="153"/>
      <c r="B982" s="31"/>
      <c r="C982" s="31"/>
      <c r="D982" s="31"/>
      <c r="E982" s="31"/>
      <c r="F982" s="31"/>
      <c r="G982" s="154"/>
    </row>
    <row r="983" spans="1:7" ht="15.75" customHeight="1">
      <c r="A983" s="153"/>
      <c r="B983" s="31"/>
      <c r="C983" s="31"/>
      <c r="D983" s="31"/>
      <c r="E983" s="31"/>
      <c r="F983" s="31"/>
      <c r="G983" s="154"/>
    </row>
    <row r="984" spans="1:7" ht="15.75" customHeight="1">
      <c r="A984" s="153"/>
      <c r="B984" s="31"/>
      <c r="C984" s="31"/>
      <c r="D984" s="31"/>
      <c r="E984" s="31"/>
      <c r="F984" s="31"/>
      <c r="G984" s="154"/>
    </row>
    <row r="985" spans="1:7" ht="15.75" customHeight="1">
      <c r="A985" s="153"/>
      <c r="B985" s="31"/>
      <c r="C985" s="31"/>
      <c r="D985" s="31"/>
      <c r="E985" s="31"/>
      <c r="F985" s="31"/>
      <c r="G985" s="154"/>
    </row>
    <row r="986" spans="1:7" ht="15.75" customHeight="1">
      <c r="A986" s="153"/>
      <c r="B986" s="31"/>
      <c r="C986" s="31"/>
      <c r="D986" s="31"/>
      <c r="E986" s="31"/>
      <c r="F986" s="31"/>
      <c r="G986" s="154"/>
    </row>
    <row r="987" spans="1:7" ht="15.75" customHeight="1">
      <c r="A987" s="153"/>
      <c r="B987" s="31"/>
      <c r="C987" s="31"/>
      <c r="D987" s="31"/>
      <c r="E987" s="31"/>
      <c r="F987" s="31"/>
      <c r="G987" s="154"/>
    </row>
    <row r="988" spans="1:7" ht="15.75" customHeight="1">
      <c r="A988" s="153"/>
      <c r="B988" s="31"/>
      <c r="C988" s="31"/>
      <c r="D988" s="31"/>
      <c r="E988" s="31"/>
      <c r="F988" s="31"/>
      <c r="G988" s="154"/>
    </row>
    <row r="989" spans="1:7" ht="15.75" customHeight="1">
      <c r="A989" s="153"/>
      <c r="B989" s="31"/>
      <c r="C989" s="31"/>
      <c r="D989" s="31"/>
      <c r="E989" s="31"/>
      <c r="F989" s="31"/>
      <c r="G989" s="154"/>
    </row>
    <row r="990" spans="1:7" ht="15.75" customHeight="1">
      <c r="A990" s="153"/>
      <c r="B990" s="31"/>
      <c r="C990" s="31"/>
      <c r="D990" s="31"/>
      <c r="E990" s="31"/>
      <c r="F990" s="31"/>
      <c r="G990" s="154"/>
    </row>
    <row r="991" spans="1:7" ht="15.75" customHeight="1">
      <c r="A991" s="153"/>
      <c r="B991" s="31"/>
      <c r="C991" s="31"/>
      <c r="D991" s="31"/>
      <c r="E991" s="31"/>
      <c r="F991" s="31"/>
      <c r="G991" s="154"/>
    </row>
    <row r="992" spans="1:7" ht="15.75" customHeight="1">
      <c r="A992" s="153"/>
      <c r="B992" s="31"/>
      <c r="C992" s="31"/>
      <c r="D992" s="31"/>
      <c r="E992" s="31"/>
      <c r="F992" s="31"/>
      <c r="G992" s="154"/>
    </row>
    <row r="993" spans="1:7" ht="15.75" customHeight="1">
      <c r="A993" s="156"/>
      <c r="B993" s="157"/>
      <c r="C993" s="157"/>
      <c r="D993" s="157"/>
      <c r="E993" s="157"/>
      <c r="F993" s="157"/>
      <c r="G993" s="158"/>
    </row>
  </sheetData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Dashboard</vt:lpstr>
      <vt:lpstr>Akquise</vt:lpstr>
      <vt:lpstr>Akquise-Tracking</vt:lpstr>
      <vt:lpstr>Quali-Calls</vt:lpstr>
      <vt:lpstr>Sales-Calls</vt:lpstr>
      <vt:lpstr>Kunden</vt:lpstr>
      <vt:lpstr>Funnel &amp; Quoten</vt:lpstr>
      <vt:lpstr>Umsatz</vt:lpstr>
      <vt:lpstr>Zielplanung</vt:lpstr>
      <vt:lpstr>Listen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Schuck</cp:lastModifiedBy>
  <dcterms:modified xsi:type="dcterms:W3CDTF">2026-07-05T13:12:36Z</dcterms:modified>
</cp:coreProperties>
</file>